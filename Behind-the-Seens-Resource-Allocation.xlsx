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ource Allocation" sheetId="1" r:id="rId5"/>
  </sheets>
  <definedNames>
    <definedName hidden="1" localSheetId="0" name="_xlnm._FilterDatabase">'Resource Allocation'!$A$4:$W$46</definedName>
  </definedNames>
  <calcPr/>
</workbook>
</file>

<file path=xl/sharedStrings.xml><?xml version="1.0" encoding="utf-8"?>
<sst xmlns="http://schemas.openxmlformats.org/spreadsheetml/2006/main" count="199" uniqueCount="100">
  <si>
    <t>Behind the Seens — Resource Allocation &amp; Monthly Cost Plan</t>
  </si>
  <si>
    <t>Project Managers: Ezz El-Din, Ibrahim, Ahmed, Mariam, Arwa, Hoor  |  Sponsor: NTI – Digital Egypt Youth Initiative  |  Duration: Sep-26 2026 – Feb 2028 (18 months)</t>
  </si>
  <si>
    <t>Resource / Task</t>
  </si>
  <si>
    <t>Team / Workstream</t>
  </si>
  <si>
    <t>Rate / Basis (EGP)</t>
  </si>
  <si>
    <t>Active Months</t>
  </si>
  <si>
    <t>Cost (EGP)</t>
  </si>
  <si>
    <t>M1
Sep-26</t>
  </si>
  <si>
    <t>M2
Oct-26</t>
  </si>
  <si>
    <t>M3
Nov-26</t>
  </si>
  <si>
    <t>M4
Dec-26</t>
  </si>
  <si>
    <t>M5
Jan-27</t>
  </si>
  <si>
    <t>M6
Feb-27</t>
  </si>
  <si>
    <t>M7
Mar-27</t>
  </si>
  <si>
    <t>M8
Apr-27</t>
  </si>
  <si>
    <t>M9
May-27</t>
  </si>
  <si>
    <t>M10
Jun-27</t>
  </si>
  <si>
    <t>M11
Jul-27</t>
  </si>
  <si>
    <t>M12
Aug-27</t>
  </si>
  <si>
    <t>M13
Sep-27</t>
  </si>
  <si>
    <t>M14
Oct-27</t>
  </si>
  <si>
    <t>M15
Nov-27</t>
  </si>
  <si>
    <t>M16
Dec-27</t>
  </si>
  <si>
    <t>M17
Jan-28</t>
  </si>
  <si>
    <t>M18
Feb-28</t>
  </si>
  <si>
    <t>Data Engineer</t>
  </si>
  <si>
    <t>Data &amp; Research</t>
  </si>
  <si>
    <t>T2.1 Data collection &amp; sourcing</t>
  </si>
  <si>
    <t>Oct-26, Nov-26</t>
  </si>
  <si>
    <t>●</t>
  </si>
  <si>
    <t>T2.2 Data cleaning &amp; annotation</t>
  </si>
  <si>
    <t>Nov-26, Dec-26</t>
  </si>
  <si>
    <t>T6.1 Bug fixing &amp; polish</t>
  </si>
  <si>
    <t>Dec-27, Jan/Feb-28</t>
  </si>
  <si>
    <t>T6.4 MVP launch &amp; handover</t>
  </si>
  <si>
    <t>Jan/Feb-28</t>
  </si>
  <si>
    <t>UX/UI Designer</t>
  </si>
  <si>
    <t>Design &amp; Experience</t>
  </si>
  <si>
    <t>T2.4 UX/UI research &amp; wireframes</t>
  </si>
  <si>
    <t>T4.3 Expert Review Dashboard</t>
  </si>
  <si>
    <t>Jun-27, Jul-27</t>
  </si>
  <si>
    <t>Clinical Advisory Committee (3 full-time)</t>
  </si>
  <si>
    <t>Clinical</t>
  </si>
  <si>
    <t>T2.3 Define ASD indicator criteria</t>
  </si>
  <si>
    <t>Dec-26, Jan-27</t>
  </si>
  <si>
    <t>T5.1 Validation dataset &amp; protocol</t>
  </si>
  <si>
    <t>Sep-27</t>
  </si>
  <si>
    <t>T5.3 UAT — Parents &amp; Therapists</t>
  </si>
  <si>
    <t>Oct-27, Nov-27</t>
  </si>
  <si>
    <t>T5.4 Clinical sign-off</t>
  </si>
  <si>
    <t>Nov-27, Dec-27</t>
  </si>
  <si>
    <t>AI Engineer (3 specialists)</t>
  </si>
  <si>
    <t>AI/ML Development</t>
  </si>
  <si>
    <t>T3.1 CV feature extraction</t>
  </si>
  <si>
    <t>Feb-27, Mar-27</t>
  </si>
  <si>
    <t>T3.2 VLM semantic extraction</t>
  </si>
  <si>
    <t>T3.3 Ensemble classification model</t>
  </si>
  <si>
    <t>Apr-27, May-27</t>
  </si>
  <si>
    <t>T3.4 LLM fine-tuning for reports</t>
  </si>
  <si>
    <t>Mar-27, Apr-27</t>
  </si>
  <si>
    <t>T4.4 RAG chatbot integration</t>
  </si>
  <si>
    <t>Jul-27, Aug-27</t>
  </si>
  <si>
    <t>Full-stack Developer</t>
  </si>
  <si>
    <t>Platform Engineering</t>
  </si>
  <si>
    <t>T4.1 Backend API development</t>
  </si>
  <si>
    <t>T4.5 Connect pipeline to applications</t>
  </si>
  <si>
    <t>Aug-27, Sep-27</t>
  </si>
  <si>
    <t>Mobile Developer</t>
  </si>
  <si>
    <t>T4.2 Mobile app build</t>
  </si>
  <si>
    <t>Jun-27, Jul-27, Aug-27</t>
  </si>
  <si>
    <t>QA Engineer</t>
  </si>
  <si>
    <t>Quality Assurance</t>
  </si>
  <si>
    <t>T5.2 Accuracy/reliability testing</t>
  </si>
  <si>
    <t>Sep-27, Oct-27</t>
  </si>
  <si>
    <t>GRAND TOTAL — SALARIES</t>
  </si>
  <si>
    <t>Cloud / GPU Compute</t>
  </si>
  <si>
    <t>Infrastructure</t>
  </si>
  <si>
    <t>Direct EGP/mo</t>
  </si>
  <si>
    <t>—</t>
  </si>
  <si>
    <t>QA / UAT Testing &amp; Misc.</t>
  </si>
  <si>
    <t>Testing &amp; Contingency</t>
  </si>
  <si>
    <t>TOTAL PROJECT COST</t>
  </si>
  <si>
    <t>Budget Reconciliation vs. Project Charter</t>
  </si>
  <si>
    <t>Budget Category</t>
  </si>
  <si>
    <t>Charter Target (EGP)</t>
  </si>
  <si>
    <t>Charter %</t>
  </si>
  <si>
    <t>Resource Plan Total (EGP)</t>
  </si>
  <si>
    <t>Execution Team Salaries (8-person budget)</t>
  </si>
  <si>
    <t>45%</t>
  </si>
  <si>
    <t>26%</t>
  </si>
  <si>
    <t>15%</t>
  </si>
  <si>
    <t>14%</t>
  </si>
  <si>
    <t>TOTAL PROJECT BUDGET</t>
  </si>
  <si>
    <t>100%</t>
  </si>
  <si>
    <t>Assumptions &amp; Notes:</t>
  </si>
  <si>
    <t>1. AI Engineer consolidates ML Engineer, Computer Vision Engineer, VLM/AI Research Engineer, and NLP/LLM Engineer into one AI/ML Development resource.</t>
  </si>
  <si>
    <t>2. AI Engineer is modelled as 3 specialists at EGP 45,000/month total. The other five tech resources are set at EGP 12,000/month each so the execution-team salary total is exactly EGP 1,890,000 over 18 months, matching the Charter budget target.</t>
  </si>
  <si>
    <t>3. Clinical Advisory Committee is modelled as 3 full-time consultants at EGP 20,000/person/month = EGP 1,080,000 over 18 months, matching the Charter.</t>
  </si>
  <si>
    <t>4. Task months are mapped from the Project Execution Schedule; shared tasks remain under each responsible resource.</t>
  </si>
  <si>
    <t>5. Cloud/GPU = EGP 630,000 and QA/UAT Testing &amp; Misc. = EGP 600,000, producing the Charter total project budget of EGP 4,200,000.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</si>
</sst>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4.0"/>
      <color rgb="FF000000"/>
      <name val="Arial"/>
    </font>
    <font>
      <sz val="11.0"/>
      <color theme="1"/>
      <name val="Calibri"/>
    </font>
    <font>
      <i/>
      <sz val="9.0"/>
      <color rgb="FF000000"/>
      <name val="Arial"/>
    </font>
    <font>
      <b/>
      <sz val="11.0"/>
      <color rgb="FFFFFFFF"/>
      <name val="Cambria"/>
    </font>
    <font>
      <b/>
      <sz val="11.0"/>
      <color theme="1"/>
      <name val="Cambria"/>
    </font>
    <font>
      <i/>
      <sz val="10.0"/>
      <color theme="1"/>
      <name val="Cambria"/>
    </font>
    <font/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BDD7EE"/>
        <bgColor rgb="FFBDD7EE"/>
      </patternFill>
    </fill>
    <fill>
      <patternFill patternType="solid">
        <fgColor rgb="FFFCE4D6"/>
        <bgColor rgb="FFFCE4D6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bottom" wrapText="0"/>
    </xf>
    <xf borderId="1" fillId="0" fontId="3" numFmtId="0" xfId="0" applyAlignment="1" applyBorder="1" applyFont="1">
      <alignment horizontal="left" readingOrder="0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2" fillId="2" fontId="4" numFmtId="0" xfId="0" applyAlignment="1" applyBorder="1" applyFont="1">
      <alignment horizontal="center" readingOrder="0" shrinkToFit="0" vertical="center" wrapText="1"/>
    </xf>
    <xf borderId="2" fillId="3" fontId="5" numFmtId="0" xfId="0" applyAlignment="1" applyBorder="1" applyFill="1" applyFont="1">
      <alignment shrinkToFit="0" vertical="center" wrapText="0"/>
    </xf>
    <xf borderId="2" fillId="3" fontId="5" numFmtId="3" xfId="0" applyAlignment="1" applyBorder="1" applyFont="1" applyNumberFormat="1">
      <alignment shrinkToFit="0" vertical="center" wrapText="0"/>
    </xf>
    <xf borderId="2" fillId="0" fontId="6" numFmtId="0" xfId="0" applyAlignment="1" applyBorder="1" applyFont="1">
      <alignment shrinkToFit="0" vertical="center" wrapText="0"/>
    </xf>
    <xf borderId="2" fillId="0" fontId="2" numFmtId="0" xfId="0" applyAlignment="1" applyBorder="1" applyFont="1">
      <alignment shrinkToFit="0" vertical="center" wrapText="0"/>
    </xf>
    <xf borderId="2" fillId="4" fontId="2" numFmtId="0" xfId="0" applyAlignment="1" applyBorder="1" applyFill="1" applyFont="1">
      <alignment horizontal="center" shrinkToFit="0" vertical="center" wrapText="0"/>
    </xf>
    <xf borderId="2" fillId="5" fontId="5" numFmtId="0" xfId="0" applyAlignment="1" applyBorder="1" applyFill="1" applyFont="1">
      <alignment shrinkToFit="0" vertical="bottom" wrapText="0"/>
    </xf>
    <xf borderId="2" fillId="5" fontId="5" numFmtId="3" xfId="0" applyAlignment="1" applyBorder="1" applyFont="1" applyNumberFormat="1">
      <alignment shrinkToFit="0" vertical="bottom" wrapText="0"/>
    </xf>
    <xf borderId="2" fillId="0" fontId="2" numFmtId="0" xfId="0" applyAlignment="1" applyBorder="1" applyFont="1">
      <alignment shrinkToFit="0" vertical="bottom" wrapText="0"/>
    </xf>
    <xf borderId="2" fillId="0" fontId="2" numFmtId="3" xfId="0" applyAlignment="1" applyBorder="1" applyFont="1" applyNumberFormat="1">
      <alignment shrinkToFit="0" vertical="bottom" wrapText="0"/>
    </xf>
    <xf borderId="3" fillId="2" fontId="4" numFmtId="0" xfId="0" applyAlignment="1" applyBorder="1" applyFont="1">
      <alignment shrinkToFit="0" vertical="bottom" wrapText="0"/>
    </xf>
    <xf borderId="4" fillId="0" fontId="7" numFmtId="0" xfId="0" applyBorder="1" applyFont="1"/>
    <xf borderId="5" fillId="0" fontId="7" numFmtId="0" xfId="0" applyBorder="1" applyFont="1"/>
    <xf borderId="2" fillId="3" fontId="5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3" fillId="6" fontId="2" numFmtId="0" xfId="0" applyAlignment="1" applyBorder="1" applyFill="1" applyFont="1">
      <alignment shrinkToFit="0" vertical="top" wrapText="1"/>
    </xf>
    <xf borderId="3" fillId="6" fontId="2" numFmtId="0" xfId="0" applyAlignment="1" applyBorder="1" applyFont="1">
      <alignment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34.0"/>
    <col customWidth="1" min="2" max="2" width="23.0"/>
    <col customWidth="1" min="3" max="3" width="17.0"/>
    <col customWidth="1" min="4" max="4" width="15.0"/>
    <col customWidth="1" min="5" max="5" width="17.0"/>
    <col customWidth="1" min="6" max="23" width="11.0"/>
    <col customWidth="1" min="24" max="26" width="8.71"/>
  </cols>
  <sheetData>
    <row r="1" ht="17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21.75" customHeight="1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5.0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31.5" customHeight="1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Y4" s="2"/>
    </row>
    <row r="5" ht="19.5" customHeight="1">
      <c r="A5" s="6" t="s">
        <v>25</v>
      </c>
      <c r="B5" s="6" t="s">
        <v>26</v>
      </c>
      <c r="C5" s="7">
        <v>12000.0</v>
      </c>
      <c r="D5" s="6">
        <f>SUM(F5:W5)</f>
        <v>18</v>
      </c>
      <c r="E5" s="7">
        <f>C5*D5</f>
        <v>216000</v>
      </c>
      <c r="F5" s="6">
        <v>1.0</v>
      </c>
      <c r="G5" s="6">
        <v>1.0</v>
      </c>
      <c r="H5" s="6">
        <v>1.0</v>
      </c>
      <c r="I5" s="6">
        <v>1.0</v>
      </c>
      <c r="J5" s="6">
        <v>1.0</v>
      </c>
      <c r="K5" s="6">
        <v>1.0</v>
      </c>
      <c r="L5" s="6">
        <v>1.0</v>
      </c>
      <c r="M5" s="6">
        <v>1.0</v>
      </c>
      <c r="N5" s="6">
        <v>1.0</v>
      </c>
      <c r="O5" s="6">
        <v>1.0</v>
      </c>
      <c r="P5" s="6">
        <v>1.0</v>
      </c>
      <c r="Q5" s="6">
        <v>1.0</v>
      </c>
      <c r="R5" s="6">
        <v>1.0</v>
      </c>
      <c r="S5" s="6">
        <v>1.0</v>
      </c>
      <c r="T5" s="6">
        <v>1.0</v>
      </c>
      <c r="U5" s="6">
        <v>1.0</v>
      </c>
      <c r="V5" s="6">
        <v>1.0</v>
      </c>
      <c r="W5" s="6">
        <v>1.0</v>
      </c>
      <c r="Y5" s="2"/>
    </row>
    <row r="6" ht="18.0" customHeight="1">
      <c r="A6" s="8" t="s">
        <v>27</v>
      </c>
      <c r="B6" s="9"/>
      <c r="C6" s="9"/>
      <c r="D6" s="9" t="s">
        <v>28</v>
      </c>
      <c r="E6" s="9"/>
      <c r="F6" s="9"/>
      <c r="G6" s="9"/>
      <c r="H6" s="10" t="s">
        <v>29</v>
      </c>
      <c r="I6" s="10" t="s">
        <v>29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Y6" s="2"/>
    </row>
    <row r="7" ht="18.0" customHeight="1">
      <c r="A7" s="8" t="s">
        <v>30</v>
      </c>
      <c r="B7" s="9"/>
      <c r="C7" s="9"/>
      <c r="D7" s="9" t="s">
        <v>31</v>
      </c>
      <c r="E7" s="9"/>
      <c r="F7" s="9"/>
      <c r="G7" s="9"/>
      <c r="H7" s="9"/>
      <c r="I7" s="10" t="s">
        <v>29</v>
      </c>
      <c r="J7" s="10" t="s">
        <v>29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Y7" s="2"/>
    </row>
    <row r="8" ht="19.5" customHeight="1">
      <c r="A8" s="8" t="s">
        <v>32</v>
      </c>
      <c r="B8" s="9"/>
      <c r="C8" s="9"/>
      <c r="D8" s="9" t="s">
        <v>33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0" t="s">
        <v>29</v>
      </c>
      <c r="W8" s="10" t="s">
        <v>29</v>
      </c>
      <c r="Y8" s="2"/>
    </row>
    <row r="9" ht="19.5" customHeight="1">
      <c r="A9" s="8" t="s">
        <v>34</v>
      </c>
      <c r="B9" s="9"/>
      <c r="C9" s="9"/>
      <c r="D9" s="9" t="s">
        <v>35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10" t="s">
        <v>29</v>
      </c>
      <c r="Y9" s="2"/>
    </row>
    <row r="10" ht="19.5" customHeight="1">
      <c r="A10" s="6" t="s">
        <v>36</v>
      </c>
      <c r="B10" s="6" t="s">
        <v>37</v>
      </c>
      <c r="C10" s="7">
        <v>12000.0</v>
      </c>
      <c r="D10" s="6">
        <f>SUM(F10:W10)</f>
        <v>18</v>
      </c>
      <c r="E10" s="7">
        <f>C10*D10</f>
        <v>216000</v>
      </c>
      <c r="F10" s="6">
        <v>1.0</v>
      </c>
      <c r="G10" s="6">
        <v>1.0</v>
      </c>
      <c r="H10" s="6">
        <v>1.0</v>
      </c>
      <c r="I10" s="6">
        <v>1.0</v>
      </c>
      <c r="J10" s="6">
        <v>1.0</v>
      </c>
      <c r="K10" s="6">
        <v>1.0</v>
      </c>
      <c r="L10" s="6">
        <v>1.0</v>
      </c>
      <c r="M10" s="6">
        <v>1.0</v>
      </c>
      <c r="N10" s="6">
        <v>1.0</v>
      </c>
      <c r="O10" s="6">
        <v>1.0</v>
      </c>
      <c r="P10" s="6">
        <v>1.0</v>
      </c>
      <c r="Q10" s="6">
        <v>1.0</v>
      </c>
      <c r="R10" s="6">
        <v>1.0</v>
      </c>
      <c r="S10" s="6">
        <v>1.0</v>
      </c>
      <c r="T10" s="6">
        <v>1.0</v>
      </c>
      <c r="U10" s="6">
        <v>1.0</v>
      </c>
      <c r="V10" s="6">
        <v>1.0</v>
      </c>
      <c r="W10" s="6">
        <v>1.0</v>
      </c>
      <c r="Y10" s="2"/>
    </row>
    <row r="11" ht="18.0" customHeight="1">
      <c r="A11" s="8" t="s">
        <v>38</v>
      </c>
      <c r="B11" s="9"/>
      <c r="C11" s="9"/>
      <c r="D11" s="9" t="s">
        <v>28</v>
      </c>
      <c r="E11" s="9"/>
      <c r="F11" s="9"/>
      <c r="G11" s="9"/>
      <c r="H11" s="10" t="s">
        <v>29</v>
      </c>
      <c r="I11" s="10" t="s">
        <v>29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Y11" s="2"/>
    </row>
    <row r="12" ht="19.5" customHeight="1">
      <c r="A12" s="8" t="s">
        <v>39</v>
      </c>
      <c r="B12" s="9"/>
      <c r="C12" s="9"/>
      <c r="D12" s="9" t="s">
        <v>40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10" t="s">
        <v>29</v>
      </c>
      <c r="Q12" s="10" t="s">
        <v>29</v>
      </c>
      <c r="R12" s="9"/>
      <c r="S12" s="9"/>
      <c r="T12" s="9"/>
      <c r="U12" s="9"/>
      <c r="V12" s="9"/>
      <c r="W12" s="9"/>
      <c r="Y12" s="2"/>
    </row>
    <row r="13" ht="19.5" customHeight="1">
      <c r="A13" s="8" t="s">
        <v>32</v>
      </c>
      <c r="B13" s="9"/>
      <c r="C13" s="9"/>
      <c r="D13" s="9" t="s">
        <v>33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0" t="s">
        <v>29</v>
      </c>
      <c r="W13" s="10" t="s">
        <v>29</v>
      </c>
      <c r="Y13" s="2"/>
    </row>
    <row r="14" ht="19.5" customHeight="1">
      <c r="A14" s="8" t="s">
        <v>34</v>
      </c>
      <c r="B14" s="9"/>
      <c r="C14" s="9"/>
      <c r="D14" s="9" t="s">
        <v>35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10" t="s">
        <v>29</v>
      </c>
      <c r="Y14" s="2"/>
    </row>
    <row r="15" ht="19.5" customHeight="1">
      <c r="A15" s="6" t="s">
        <v>41</v>
      </c>
      <c r="B15" s="6" t="s">
        <v>42</v>
      </c>
      <c r="C15" s="7">
        <v>60000.0</v>
      </c>
      <c r="D15" s="6">
        <f>SUM(F15:W15)</f>
        <v>18</v>
      </c>
      <c r="E15" s="7">
        <f>C15*D15</f>
        <v>1080000</v>
      </c>
      <c r="F15" s="6">
        <v>1.0</v>
      </c>
      <c r="G15" s="6">
        <v>1.0</v>
      </c>
      <c r="H15" s="6">
        <v>1.0</v>
      </c>
      <c r="I15" s="6">
        <v>1.0</v>
      </c>
      <c r="J15" s="6">
        <v>1.0</v>
      </c>
      <c r="K15" s="6">
        <v>1.0</v>
      </c>
      <c r="L15" s="6">
        <v>1.0</v>
      </c>
      <c r="M15" s="6">
        <v>1.0</v>
      </c>
      <c r="N15" s="6">
        <v>1.0</v>
      </c>
      <c r="O15" s="6">
        <v>1.0</v>
      </c>
      <c r="P15" s="6">
        <v>1.0</v>
      </c>
      <c r="Q15" s="6">
        <v>1.0</v>
      </c>
      <c r="R15" s="6">
        <v>1.0</v>
      </c>
      <c r="S15" s="6">
        <v>1.0</v>
      </c>
      <c r="T15" s="6">
        <v>1.0</v>
      </c>
      <c r="U15" s="6">
        <v>1.0</v>
      </c>
      <c r="V15" s="6">
        <v>1.0</v>
      </c>
      <c r="W15" s="6">
        <v>1.0</v>
      </c>
      <c r="Y15" s="2"/>
    </row>
    <row r="16" ht="19.5" customHeight="1">
      <c r="A16" s="8" t="s">
        <v>43</v>
      </c>
      <c r="B16" s="9"/>
      <c r="C16" s="9"/>
      <c r="D16" s="9" t="s">
        <v>44</v>
      </c>
      <c r="E16" s="9"/>
      <c r="F16" s="9"/>
      <c r="G16" s="9"/>
      <c r="H16" s="9"/>
      <c r="I16" s="9"/>
      <c r="J16" s="10" t="s">
        <v>29</v>
      </c>
      <c r="K16" s="10" t="s">
        <v>29</v>
      </c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Y16" s="2"/>
    </row>
    <row r="17" ht="18.0" customHeight="1">
      <c r="A17" s="8" t="s">
        <v>45</v>
      </c>
      <c r="B17" s="9"/>
      <c r="C17" s="9"/>
      <c r="D17" s="9" t="s">
        <v>46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0" t="s">
        <v>29</v>
      </c>
      <c r="T17" s="9"/>
      <c r="U17" s="9"/>
      <c r="V17" s="9"/>
      <c r="W17" s="9"/>
      <c r="Y17" s="2"/>
    </row>
    <row r="18" ht="19.5" customHeight="1">
      <c r="A18" s="8" t="s">
        <v>47</v>
      </c>
      <c r="B18" s="9"/>
      <c r="C18" s="9"/>
      <c r="D18" s="9" t="s">
        <v>48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10" t="s">
        <v>29</v>
      </c>
      <c r="U18" s="10" t="s">
        <v>29</v>
      </c>
      <c r="V18" s="9"/>
      <c r="W18" s="9"/>
      <c r="Y18" s="2"/>
    </row>
    <row r="19" ht="18.0" customHeight="1">
      <c r="A19" s="8" t="s">
        <v>49</v>
      </c>
      <c r="B19" s="9"/>
      <c r="C19" s="9"/>
      <c r="D19" s="9" t="s">
        <v>50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10" t="s">
        <v>29</v>
      </c>
      <c r="V19" s="10" t="s">
        <v>29</v>
      </c>
      <c r="W19" s="9"/>
      <c r="Y19" s="2"/>
    </row>
    <row r="20" ht="19.5" customHeight="1">
      <c r="A20" s="8" t="s">
        <v>34</v>
      </c>
      <c r="B20" s="9"/>
      <c r="C20" s="9"/>
      <c r="D20" s="9" t="s">
        <v>35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10" t="s">
        <v>29</v>
      </c>
      <c r="Y20" s="2"/>
    </row>
    <row r="21" ht="19.5" customHeight="1">
      <c r="A21" s="6" t="s">
        <v>51</v>
      </c>
      <c r="B21" s="6" t="s">
        <v>52</v>
      </c>
      <c r="C21" s="7">
        <v>45000.0</v>
      </c>
      <c r="D21" s="6">
        <f>SUM(F21:W21)</f>
        <v>18</v>
      </c>
      <c r="E21" s="7">
        <f>C21*D21</f>
        <v>810000</v>
      </c>
      <c r="F21" s="6">
        <v>1.0</v>
      </c>
      <c r="G21" s="6">
        <v>1.0</v>
      </c>
      <c r="H21" s="6">
        <v>1.0</v>
      </c>
      <c r="I21" s="6">
        <v>1.0</v>
      </c>
      <c r="J21" s="6">
        <v>1.0</v>
      </c>
      <c r="K21" s="6">
        <v>1.0</v>
      </c>
      <c r="L21" s="6">
        <v>1.0</v>
      </c>
      <c r="M21" s="6">
        <v>1.0</v>
      </c>
      <c r="N21" s="6">
        <v>1.0</v>
      </c>
      <c r="O21" s="6">
        <v>1.0</v>
      </c>
      <c r="P21" s="6">
        <v>1.0</v>
      </c>
      <c r="Q21" s="6">
        <v>1.0</v>
      </c>
      <c r="R21" s="6">
        <v>1.0</v>
      </c>
      <c r="S21" s="6">
        <v>1.0</v>
      </c>
      <c r="T21" s="6">
        <v>1.0</v>
      </c>
      <c r="U21" s="6">
        <v>1.0</v>
      </c>
      <c r="V21" s="6">
        <v>1.0</v>
      </c>
      <c r="W21" s="6">
        <v>1.0</v>
      </c>
      <c r="Y21" s="2"/>
    </row>
    <row r="22" ht="18.0" customHeight="1">
      <c r="A22" s="8" t="s">
        <v>43</v>
      </c>
      <c r="B22" s="9"/>
      <c r="C22" s="9"/>
      <c r="D22" s="9" t="s">
        <v>44</v>
      </c>
      <c r="E22" s="9"/>
      <c r="F22" s="9"/>
      <c r="G22" s="9"/>
      <c r="H22" s="9"/>
      <c r="I22" s="9"/>
      <c r="J22" s="10" t="s">
        <v>29</v>
      </c>
      <c r="K22" s="10" t="s">
        <v>29</v>
      </c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Y22" s="2"/>
    </row>
    <row r="23" ht="19.5" customHeight="1">
      <c r="A23" s="8" t="s">
        <v>53</v>
      </c>
      <c r="B23" s="9"/>
      <c r="C23" s="9"/>
      <c r="D23" s="9" t="s">
        <v>54</v>
      </c>
      <c r="E23" s="9"/>
      <c r="F23" s="9"/>
      <c r="G23" s="9"/>
      <c r="H23" s="9"/>
      <c r="I23" s="9"/>
      <c r="J23" s="9"/>
      <c r="K23" s="9"/>
      <c r="L23" s="10" t="s">
        <v>29</v>
      </c>
      <c r="M23" s="10" t="s">
        <v>29</v>
      </c>
      <c r="N23" s="9"/>
      <c r="O23" s="9"/>
      <c r="P23" s="9"/>
      <c r="Q23" s="9"/>
      <c r="R23" s="9"/>
      <c r="S23" s="9"/>
      <c r="T23" s="9"/>
      <c r="U23" s="9"/>
      <c r="V23" s="9"/>
      <c r="W23" s="9"/>
      <c r="Y23" s="2"/>
    </row>
    <row r="24" ht="19.5" customHeight="1">
      <c r="A24" s="8" t="s">
        <v>55</v>
      </c>
      <c r="B24" s="9"/>
      <c r="C24" s="9"/>
      <c r="D24" s="9" t="s">
        <v>54</v>
      </c>
      <c r="E24" s="9"/>
      <c r="F24" s="9"/>
      <c r="G24" s="9"/>
      <c r="H24" s="9"/>
      <c r="I24" s="9"/>
      <c r="J24" s="9"/>
      <c r="K24" s="9"/>
      <c r="L24" s="10" t="s">
        <v>29</v>
      </c>
      <c r="M24" s="10" t="s">
        <v>29</v>
      </c>
      <c r="N24" s="9"/>
      <c r="O24" s="9"/>
      <c r="P24" s="9"/>
      <c r="Q24" s="9"/>
      <c r="R24" s="9"/>
      <c r="S24" s="9"/>
      <c r="T24" s="9"/>
      <c r="U24" s="9"/>
      <c r="V24" s="9"/>
      <c r="W24" s="9"/>
      <c r="Y24" s="2"/>
    </row>
    <row r="25" ht="19.5" customHeight="1">
      <c r="A25" s="8" t="s">
        <v>56</v>
      </c>
      <c r="B25" s="9"/>
      <c r="C25" s="9"/>
      <c r="D25" s="9" t="s">
        <v>57</v>
      </c>
      <c r="E25" s="9"/>
      <c r="F25" s="9"/>
      <c r="G25" s="9"/>
      <c r="H25" s="9"/>
      <c r="I25" s="9"/>
      <c r="J25" s="9"/>
      <c r="K25" s="9"/>
      <c r="L25" s="9"/>
      <c r="M25" s="9"/>
      <c r="N25" s="10" t="s">
        <v>29</v>
      </c>
      <c r="O25" s="10" t="s">
        <v>29</v>
      </c>
      <c r="P25" s="9"/>
      <c r="Q25" s="9"/>
      <c r="R25" s="9"/>
      <c r="S25" s="9"/>
      <c r="T25" s="9"/>
      <c r="U25" s="9"/>
      <c r="V25" s="9"/>
      <c r="W25" s="9"/>
      <c r="Y25" s="2"/>
    </row>
    <row r="26" ht="18.0" customHeight="1">
      <c r="A26" s="8" t="s">
        <v>58</v>
      </c>
      <c r="B26" s="9"/>
      <c r="C26" s="9"/>
      <c r="D26" s="9" t="s">
        <v>59</v>
      </c>
      <c r="E26" s="9"/>
      <c r="F26" s="9"/>
      <c r="G26" s="9"/>
      <c r="H26" s="9"/>
      <c r="I26" s="9"/>
      <c r="J26" s="9"/>
      <c r="K26" s="9"/>
      <c r="L26" s="9"/>
      <c r="M26" s="10" t="s">
        <v>29</v>
      </c>
      <c r="N26" s="10" t="s">
        <v>29</v>
      </c>
      <c r="O26" s="9"/>
      <c r="P26" s="9"/>
      <c r="Q26" s="9"/>
      <c r="R26" s="9"/>
      <c r="S26" s="9"/>
      <c r="T26" s="9"/>
      <c r="U26" s="9"/>
      <c r="V26" s="9"/>
      <c r="W26" s="9"/>
      <c r="Y26" s="2"/>
    </row>
    <row r="27" ht="18.0" customHeight="1">
      <c r="A27" s="8" t="s">
        <v>60</v>
      </c>
      <c r="B27" s="9"/>
      <c r="C27" s="9"/>
      <c r="D27" s="9" t="s">
        <v>61</v>
      </c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10" t="s">
        <v>29</v>
      </c>
      <c r="R27" s="10" t="s">
        <v>29</v>
      </c>
      <c r="S27" s="9"/>
      <c r="T27" s="9"/>
      <c r="U27" s="9"/>
      <c r="V27" s="9"/>
      <c r="W27" s="9"/>
      <c r="Y27" s="2"/>
    </row>
    <row r="28" ht="19.5" customHeight="1">
      <c r="A28" s="8" t="s">
        <v>32</v>
      </c>
      <c r="B28" s="9"/>
      <c r="C28" s="9"/>
      <c r="D28" s="9" t="s">
        <v>33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10" t="s">
        <v>29</v>
      </c>
      <c r="W28" s="10" t="s">
        <v>29</v>
      </c>
      <c r="Y28" s="2"/>
    </row>
    <row r="29" ht="19.5" customHeight="1">
      <c r="A29" s="8" t="s">
        <v>34</v>
      </c>
      <c r="B29" s="9"/>
      <c r="C29" s="9"/>
      <c r="D29" s="9" t="s">
        <v>35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10" t="s">
        <v>29</v>
      </c>
      <c r="Y29" s="2"/>
    </row>
    <row r="30" ht="19.5" customHeight="1">
      <c r="A30" s="6" t="s">
        <v>62</v>
      </c>
      <c r="B30" s="6" t="s">
        <v>63</v>
      </c>
      <c r="C30" s="7">
        <v>12000.0</v>
      </c>
      <c r="D30" s="6">
        <f>SUM(F30:W30)</f>
        <v>18</v>
      </c>
      <c r="E30" s="7">
        <f>C30*D30</f>
        <v>216000</v>
      </c>
      <c r="F30" s="6">
        <v>1.0</v>
      </c>
      <c r="G30" s="6">
        <v>1.0</v>
      </c>
      <c r="H30" s="6">
        <v>1.0</v>
      </c>
      <c r="I30" s="6">
        <v>1.0</v>
      </c>
      <c r="J30" s="6">
        <v>1.0</v>
      </c>
      <c r="K30" s="6">
        <v>1.0</v>
      </c>
      <c r="L30" s="6">
        <v>1.0</v>
      </c>
      <c r="M30" s="6">
        <v>1.0</v>
      </c>
      <c r="N30" s="6">
        <v>1.0</v>
      </c>
      <c r="O30" s="6">
        <v>1.0</v>
      </c>
      <c r="P30" s="6">
        <v>1.0</v>
      </c>
      <c r="Q30" s="6">
        <v>1.0</v>
      </c>
      <c r="R30" s="6">
        <v>1.0</v>
      </c>
      <c r="S30" s="6">
        <v>1.0</v>
      </c>
      <c r="T30" s="6">
        <v>1.0</v>
      </c>
      <c r="U30" s="6">
        <v>1.0</v>
      </c>
      <c r="V30" s="6">
        <v>1.0</v>
      </c>
      <c r="W30" s="6">
        <v>1.0</v>
      </c>
      <c r="Y30" s="2"/>
    </row>
    <row r="31" ht="18.0" customHeight="1">
      <c r="A31" s="8" t="s">
        <v>64</v>
      </c>
      <c r="B31" s="9"/>
      <c r="C31" s="9"/>
      <c r="D31" s="9" t="s">
        <v>40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10" t="s">
        <v>29</v>
      </c>
      <c r="Q31" s="10" t="s">
        <v>29</v>
      </c>
      <c r="R31" s="9"/>
      <c r="S31" s="9"/>
      <c r="T31" s="9"/>
      <c r="U31" s="9"/>
      <c r="V31" s="9"/>
      <c r="W31" s="9"/>
      <c r="Y31" s="2"/>
    </row>
    <row r="32" ht="19.5" customHeight="1">
      <c r="A32" s="8" t="s">
        <v>39</v>
      </c>
      <c r="B32" s="9"/>
      <c r="C32" s="9"/>
      <c r="D32" s="9" t="s">
        <v>40</v>
      </c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10" t="s">
        <v>29</v>
      </c>
      <c r="Q32" s="10" t="s">
        <v>29</v>
      </c>
      <c r="R32" s="9"/>
      <c r="S32" s="9"/>
      <c r="T32" s="9"/>
      <c r="U32" s="9"/>
      <c r="V32" s="9"/>
      <c r="W32" s="9"/>
      <c r="Y32" s="2"/>
    </row>
    <row r="33" ht="19.5" customHeight="1">
      <c r="A33" s="8" t="s">
        <v>60</v>
      </c>
      <c r="B33" s="9"/>
      <c r="C33" s="9"/>
      <c r="D33" s="9" t="s">
        <v>61</v>
      </c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10" t="s">
        <v>29</v>
      </c>
      <c r="R33" s="10" t="s">
        <v>29</v>
      </c>
      <c r="S33" s="9"/>
      <c r="T33" s="9"/>
      <c r="U33" s="9"/>
      <c r="V33" s="9"/>
      <c r="W33" s="9"/>
      <c r="Y33" s="2"/>
    </row>
    <row r="34" ht="19.5" customHeight="1">
      <c r="A34" s="8" t="s">
        <v>65</v>
      </c>
      <c r="B34" s="9"/>
      <c r="C34" s="9"/>
      <c r="D34" s="9" t="s">
        <v>66</v>
      </c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10" t="s">
        <v>29</v>
      </c>
      <c r="S34" s="10" t="s">
        <v>29</v>
      </c>
      <c r="T34" s="9"/>
      <c r="U34" s="9"/>
      <c r="V34" s="9"/>
      <c r="W34" s="9"/>
      <c r="Y34" s="2"/>
    </row>
    <row r="35" ht="18.0" customHeight="1">
      <c r="A35" s="8" t="s">
        <v>32</v>
      </c>
      <c r="B35" s="9"/>
      <c r="C35" s="9"/>
      <c r="D35" s="9" t="s">
        <v>33</v>
      </c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10" t="s">
        <v>29</v>
      </c>
      <c r="W35" s="10" t="s">
        <v>29</v>
      </c>
      <c r="Y35" s="2"/>
    </row>
    <row r="36" ht="19.5" customHeight="1">
      <c r="A36" s="8" t="s">
        <v>34</v>
      </c>
      <c r="B36" s="9"/>
      <c r="C36" s="9"/>
      <c r="D36" s="9" t="s">
        <v>35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10" t="s">
        <v>29</v>
      </c>
      <c r="Y36" s="2"/>
    </row>
    <row r="37" ht="19.5" customHeight="1">
      <c r="A37" s="6" t="s">
        <v>67</v>
      </c>
      <c r="B37" s="6" t="s">
        <v>63</v>
      </c>
      <c r="C37" s="7">
        <v>12000.0</v>
      </c>
      <c r="D37" s="6">
        <f>SUM(F37:W37)</f>
        <v>18</v>
      </c>
      <c r="E37" s="7">
        <f>C37*D37</f>
        <v>216000</v>
      </c>
      <c r="F37" s="6">
        <v>1.0</v>
      </c>
      <c r="G37" s="6">
        <v>1.0</v>
      </c>
      <c r="H37" s="6">
        <v>1.0</v>
      </c>
      <c r="I37" s="6">
        <v>1.0</v>
      </c>
      <c r="J37" s="6">
        <v>1.0</v>
      </c>
      <c r="K37" s="6">
        <v>1.0</v>
      </c>
      <c r="L37" s="6">
        <v>1.0</v>
      </c>
      <c r="M37" s="6">
        <v>1.0</v>
      </c>
      <c r="N37" s="6">
        <v>1.0</v>
      </c>
      <c r="O37" s="6">
        <v>1.0</v>
      </c>
      <c r="P37" s="6">
        <v>1.0</v>
      </c>
      <c r="Q37" s="6">
        <v>1.0</v>
      </c>
      <c r="R37" s="6">
        <v>1.0</v>
      </c>
      <c r="S37" s="6">
        <v>1.0</v>
      </c>
      <c r="T37" s="6">
        <v>1.0</v>
      </c>
      <c r="U37" s="6">
        <v>1.0</v>
      </c>
      <c r="V37" s="6">
        <v>1.0</v>
      </c>
      <c r="W37" s="6">
        <v>1.0</v>
      </c>
      <c r="Y37" s="2"/>
    </row>
    <row r="38" ht="19.5" customHeight="1">
      <c r="A38" s="8" t="s">
        <v>68</v>
      </c>
      <c r="B38" s="9"/>
      <c r="C38" s="9"/>
      <c r="D38" s="9" t="s">
        <v>69</v>
      </c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10" t="s">
        <v>29</v>
      </c>
      <c r="Q38" s="10" t="s">
        <v>29</v>
      </c>
      <c r="R38" s="10" t="s">
        <v>29</v>
      </c>
      <c r="S38" s="9"/>
      <c r="T38" s="9"/>
      <c r="U38" s="9"/>
      <c r="V38" s="9"/>
      <c r="W38" s="9"/>
      <c r="Y38" s="2"/>
    </row>
    <row r="39" ht="19.5" customHeight="1">
      <c r="A39" s="8" t="s">
        <v>32</v>
      </c>
      <c r="B39" s="9"/>
      <c r="C39" s="9"/>
      <c r="D39" s="9" t="s">
        <v>33</v>
      </c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10" t="s">
        <v>29</v>
      </c>
      <c r="W39" s="10" t="s">
        <v>29</v>
      </c>
      <c r="Y39" s="2"/>
    </row>
    <row r="40" ht="18.0" customHeight="1">
      <c r="A40" s="8" t="s">
        <v>34</v>
      </c>
      <c r="B40" s="9"/>
      <c r="C40" s="9"/>
      <c r="D40" s="9" t="s">
        <v>35</v>
      </c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10" t="s">
        <v>29</v>
      </c>
      <c r="Y40" s="2"/>
    </row>
    <row r="41" ht="18.0" customHeight="1">
      <c r="A41" s="6" t="s">
        <v>70</v>
      </c>
      <c r="B41" s="6" t="s">
        <v>71</v>
      </c>
      <c r="C41" s="7">
        <v>12000.0</v>
      </c>
      <c r="D41" s="6">
        <f>SUM(F41:W41)</f>
        <v>18</v>
      </c>
      <c r="E41" s="7">
        <f>C41*D41</f>
        <v>216000</v>
      </c>
      <c r="F41" s="6">
        <v>1.0</v>
      </c>
      <c r="G41" s="6">
        <v>1.0</v>
      </c>
      <c r="H41" s="6">
        <v>1.0</v>
      </c>
      <c r="I41" s="6">
        <v>1.0</v>
      </c>
      <c r="J41" s="6">
        <v>1.0</v>
      </c>
      <c r="K41" s="6">
        <v>1.0</v>
      </c>
      <c r="L41" s="6">
        <v>1.0</v>
      </c>
      <c r="M41" s="6">
        <v>1.0</v>
      </c>
      <c r="N41" s="6">
        <v>1.0</v>
      </c>
      <c r="O41" s="6">
        <v>1.0</v>
      </c>
      <c r="P41" s="6">
        <v>1.0</v>
      </c>
      <c r="Q41" s="6">
        <v>1.0</v>
      </c>
      <c r="R41" s="6">
        <v>1.0</v>
      </c>
      <c r="S41" s="6">
        <v>1.0</v>
      </c>
      <c r="T41" s="6">
        <v>1.0</v>
      </c>
      <c r="U41" s="6">
        <v>1.0</v>
      </c>
      <c r="V41" s="6">
        <v>1.0</v>
      </c>
      <c r="W41" s="6">
        <v>1.0</v>
      </c>
      <c r="Y41" s="2"/>
    </row>
    <row r="42" ht="18.0" customHeight="1">
      <c r="A42" s="8" t="s">
        <v>72</v>
      </c>
      <c r="B42" s="9"/>
      <c r="C42" s="9"/>
      <c r="D42" s="9" t="s">
        <v>73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10" t="s">
        <v>29</v>
      </c>
      <c r="T42" s="10" t="s">
        <v>29</v>
      </c>
      <c r="U42" s="9"/>
      <c r="V42" s="9"/>
      <c r="W42" s="9"/>
      <c r="Y42" s="2"/>
    </row>
    <row r="43" ht="18.0" customHeight="1">
      <c r="A43" s="8" t="s">
        <v>47</v>
      </c>
      <c r="B43" s="9"/>
      <c r="C43" s="9"/>
      <c r="D43" s="9" t="s">
        <v>48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10" t="s">
        <v>29</v>
      </c>
      <c r="U43" s="10" t="s">
        <v>29</v>
      </c>
      <c r="V43" s="9"/>
      <c r="W43" s="9"/>
      <c r="Y43" s="2"/>
    </row>
    <row r="44" ht="19.5" customHeight="1">
      <c r="A44" s="8" t="s">
        <v>32</v>
      </c>
      <c r="B44" s="9"/>
      <c r="C44" s="9"/>
      <c r="D44" s="9" t="s">
        <v>33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10" t="s">
        <v>29</v>
      </c>
      <c r="W44" s="10" t="s">
        <v>29</v>
      </c>
      <c r="Y44" s="2"/>
    </row>
    <row r="45" ht="19.5" customHeight="1">
      <c r="A45" s="8" t="s">
        <v>34</v>
      </c>
      <c r="B45" s="9"/>
      <c r="C45" s="9"/>
      <c r="D45" s="9" t="s">
        <v>35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10" t="s">
        <v>29</v>
      </c>
      <c r="Y45" s="2"/>
    </row>
    <row r="46" ht="19.5" customHeight="1">
      <c r="A46" s="11" t="s">
        <v>74</v>
      </c>
      <c r="B46" s="11"/>
      <c r="C46" s="11"/>
      <c r="D46" s="11"/>
      <c r="E46" s="12">
        <f>SUM(E5,E10,E15,E21,E30,E37,E41)</f>
        <v>2970000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Y46" s="2"/>
    </row>
    <row r="47" ht="18.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Y47" s="2"/>
    </row>
    <row r="48" ht="19.5" customHeight="1">
      <c r="A48" s="13" t="s">
        <v>75</v>
      </c>
      <c r="B48" s="13" t="s">
        <v>76</v>
      </c>
      <c r="C48" s="13" t="s">
        <v>77</v>
      </c>
      <c r="D48" s="13" t="s">
        <v>78</v>
      </c>
      <c r="E48" s="14">
        <f t="shared" ref="E48:E49" si="1">SUM(F48:W48)</f>
        <v>630000</v>
      </c>
      <c r="F48" s="13">
        <v>10925.0</v>
      </c>
      <c r="G48" s="13">
        <v>10925.0</v>
      </c>
      <c r="H48" s="13">
        <v>18208.0</v>
      </c>
      <c r="I48" s="13">
        <v>18208.0</v>
      </c>
      <c r="J48" s="13">
        <v>21850.0</v>
      </c>
      <c r="K48" s="13">
        <v>21850.0</v>
      </c>
      <c r="L48" s="13">
        <v>58266.0</v>
      </c>
      <c r="M48" s="13">
        <v>65549.0</v>
      </c>
      <c r="N48" s="13">
        <v>65549.0</v>
      </c>
      <c r="O48" s="13">
        <v>58266.0</v>
      </c>
      <c r="P48" s="13">
        <v>43699.0</v>
      </c>
      <c r="Q48" s="13">
        <v>36416.0</v>
      </c>
      <c r="R48" s="13">
        <v>36416.0</v>
      </c>
      <c r="S48" s="13">
        <v>36416.0</v>
      </c>
      <c r="T48" s="13">
        <v>40058.0</v>
      </c>
      <c r="U48" s="13">
        <v>40058.0</v>
      </c>
      <c r="V48" s="13">
        <v>32775.0</v>
      </c>
      <c r="W48" s="13">
        <v>14566.0</v>
      </c>
      <c r="Y48" s="2"/>
    </row>
    <row r="49" ht="19.5" customHeight="1">
      <c r="A49" s="13" t="s">
        <v>79</v>
      </c>
      <c r="B49" s="13" t="s">
        <v>80</v>
      </c>
      <c r="C49" s="13" t="s">
        <v>77</v>
      </c>
      <c r="D49" s="13" t="s">
        <v>78</v>
      </c>
      <c r="E49" s="14">
        <f t="shared" si="1"/>
        <v>600000</v>
      </c>
      <c r="F49" s="13">
        <v>15790.0</v>
      </c>
      <c r="G49" s="13">
        <v>15790.0</v>
      </c>
      <c r="H49" s="13">
        <v>15790.0</v>
      </c>
      <c r="I49" s="13">
        <v>15790.0</v>
      </c>
      <c r="J49" s="13">
        <v>15790.0</v>
      </c>
      <c r="K49" s="13">
        <v>15790.0</v>
      </c>
      <c r="L49" s="13">
        <v>15790.0</v>
      </c>
      <c r="M49" s="13">
        <v>15790.0</v>
      </c>
      <c r="N49" s="13">
        <v>15790.0</v>
      </c>
      <c r="O49" s="13">
        <v>15790.0</v>
      </c>
      <c r="P49" s="13">
        <v>15790.0</v>
      </c>
      <c r="Q49" s="13">
        <v>15790.0</v>
      </c>
      <c r="R49" s="13">
        <v>15790.0</v>
      </c>
      <c r="S49" s="13">
        <v>15790.0</v>
      </c>
      <c r="T49" s="13">
        <v>105257.0</v>
      </c>
      <c r="U49" s="13">
        <v>105263.0</v>
      </c>
      <c r="V49" s="13">
        <v>84210.0</v>
      </c>
      <c r="W49" s="13">
        <v>84210.0</v>
      </c>
      <c r="Y49" s="2"/>
    </row>
    <row r="50" ht="19.5" customHeight="1">
      <c r="A50" s="11" t="s">
        <v>81</v>
      </c>
      <c r="B50" s="11"/>
      <c r="C50" s="11"/>
      <c r="D50" s="11"/>
      <c r="E50" s="12">
        <f>E46+E48+E49</f>
        <v>4200000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Y50" s="2"/>
    </row>
    <row r="51" ht="18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Y51" s="2"/>
    </row>
    <row r="52" ht="18.0" customHeight="1">
      <c r="A52" s="15" t="s">
        <v>82</v>
      </c>
      <c r="B52" s="16"/>
      <c r="C52" s="16"/>
      <c r="D52" s="16"/>
      <c r="E52" s="16"/>
      <c r="F52" s="17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Y52" s="2"/>
    </row>
    <row r="53" ht="18.0" customHeight="1">
      <c r="A53" s="18" t="s">
        <v>83</v>
      </c>
      <c r="B53" s="18"/>
      <c r="C53" s="18" t="s">
        <v>84</v>
      </c>
      <c r="D53" s="18" t="s">
        <v>85</v>
      </c>
      <c r="E53" s="18" t="s">
        <v>86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Y53" s="2"/>
    </row>
    <row r="54" ht="18.0" customHeight="1">
      <c r="A54" s="19" t="s">
        <v>87</v>
      </c>
      <c r="B54" s="13"/>
      <c r="C54" s="14">
        <v>1890000.0</v>
      </c>
      <c r="D54" s="13" t="s">
        <v>88</v>
      </c>
      <c r="E54" s="14">
        <f>SUM(E5,E10,E21,E30,E37,E41)</f>
        <v>1890000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Y54" s="2"/>
    </row>
    <row r="55" ht="19.5" customHeight="1">
      <c r="A55" s="13" t="s">
        <v>41</v>
      </c>
      <c r="B55" s="13"/>
      <c r="C55" s="14">
        <v>1080000.0</v>
      </c>
      <c r="D55" s="13" t="s">
        <v>89</v>
      </c>
      <c r="E55" s="14">
        <f>E15</f>
        <v>1080000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Y55" s="2"/>
    </row>
    <row r="56" ht="15.0" customHeight="1">
      <c r="A56" s="13" t="s">
        <v>75</v>
      </c>
      <c r="B56" s="13"/>
      <c r="C56" s="14">
        <v>630000.0</v>
      </c>
      <c r="D56" s="13" t="s">
        <v>90</v>
      </c>
      <c r="E56" s="14">
        <f t="shared" ref="E56:E57" si="2">E48</f>
        <v>630000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Y56" s="2"/>
    </row>
    <row r="57" ht="15.0" customHeight="1">
      <c r="A57" s="13" t="s">
        <v>79</v>
      </c>
      <c r="B57" s="13"/>
      <c r="C57" s="14">
        <v>600000.0</v>
      </c>
      <c r="D57" s="13" t="s">
        <v>91</v>
      </c>
      <c r="E57" s="14">
        <f t="shared" si="2"/>
        <v>600000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Y57" s="2"/>
    </row>
    <row r="58" ht="15.0" customHeight="1">
      <c r="A58" s="11" t="s">
        <v>92</v>
      </c>
      <c r="B58" s="11"/>
      <c r="C58" s="12">
        <f>SUM(C54:C57)</f>
        <v>4200000</v>
      </c>
      <c r="D58" s="11" t="s">
        <v>93</v>
      </c>
      <c r="E58" s="12">
        <f>SUM(E54:E57)</f>
        <v>4200000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Y59" s="2"/>
    </row>
    <row r="60" ht="15.0" customHeight="1">
      <c r="A60" s="15" t="s">
        <v>94</v>
      </c>
      <c r="B60" s="16"/>
      <c r="C60" s="16"/>
      <c r="D60" s="16"/>
      <c r="E60" s="16"/>
      <c r="F60" s="16"/>
      <c r="G60" s="16"/>
      <c r="H60" s="16"/>
      <c r="I60" s="16"/>
      <c r="J60" s="16"/>
      <c r="K60" s="17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Y60" s="2"/>
    </row>
    <row r="61" ht="36.0" customHeight="1">
      <c r="A61" s="20" t="s">
        <v>95</v>
      </c>
      <c r="B61" s="16"/>
      <c r="C61" s="16"/>
      <c r="D61" s="16"/>
      <c r="E61" s="16"/>
      <c r="F61" s="16"/>
      <c r="G61" s="16"/>
      <c r="H61" s="16"/>
      <c r="I61" s="16"/>
      <c r="J61" s="16"/>
      <c r="K61" s="17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Y61" s="2"/>
    </row>
    <row r="62" ht="36.0" customHeight="1">
      <c r="A62" s="20" t="s">
        <v>96</v>
      </c>
      <c r="B62" s="16"/>
      <c r="C62" s="16"/>
      <c r="D62" s="16"/>
      <c r="E62" s="16"/>
      <c r="F62" s="16"/>
      <c r="G62" s="16"/>
      <c r="H62" s="16"/>
      <c r="I62" s="16"/>
      <c r="J62" s="16"/>
      <c r="K62" s="17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Y62" s="2"/>
    </row>
    <row r="63" ht="36.0" customHeight="1">
      <c r="A63" s="21" t="s">
        <v>97</v>
      </c>
      <c r="B63" s="16"/>
      <c r="C63" s="16"/>
      <c r="D63" s="16"/>
      <c r="E63" s="16"/>
      <c r="F63" s="16"/>
      <c r="G63" s="16"/>
      <c r="H63" s="16"/>
      <c r="I63" s="16"/>
      <c r="J63" s="16"/>
      <c r="K63" s="17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Y63" s="2"/>
    </row>
    <row r="64" ht="36.0" customHeight="1">
      <c r="A64" s="21" t="s">
        <v>98</v>
      </c>
      <c r="B64" s="16"/>
      <c r="C64" s="16"/>
      <c r="D64" s="16"/>
      <c r="E64" s="16"/>
      <c r="F64" s="16"/>
      <c r="G64" s="16"/>
      <c r="H64" s="16"/>
      <c r="I64" s="16"/>
      <c r="J64" s="16"/>
      <c r="K64" s="17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Y64" s="2"/>
    </row>
    <row r="65" ht="36.0" customHeight="1">
      <c r="A65" s="21" t="s">
        <v>99</v>
      </c>
      <c r="B65" s="16"/>
      <c r="C65" s="16"/>
      <c r="D65" s="16"/>
      <c r="E65" s="16"/>
      <c r="F65" s="16"/>
      <c r="G65" s="16"/>
      <c r="H65" s="16"/>
      <c r="I65" s="16"/>
      <c r="J65" s="16"/>
      <c r="K65" s="17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Y68" s="2"/>
    </row>
    <row r="69" ht="36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Y69" s="2"/>
    </row>
    <row r="70" ht="36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Y70" s="2"/>
    </row>
    <row r="71" ht="36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Y71" s="2"/>
    </row>
    <row r="72" ht="36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Y72" s="2"/>
    </row>
    <row r="73" ht="24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Y73" s="2"/>
    </row>
    <row r="74" ht="24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Y999" s="2"/>
    </row>
  </sheetData>
  <autoFilter ref="$A$4:$W$46"/>
  <mergeCells count="7">
    <mergeCell ref="A52:F52"/>
    <mergeCell ref="A60:K60"/>
    <mergeCell ref="A61:K61"/>
    <mergeCell ref="A62:K62"/>
    <mergeCell ref="A63:K63"/>
    <mergeCell ref="A64:K64"/>
    <mergeCell ref="A65:K65"/>
  </mergeCells>
  <printOptions/>
  <pageMargins bottom="1.0" footer="0.0" header="0.0" left="0.75" right="0.75" top="1.0"/>
  <pageSetup fitToHeight="0" orientation="landscape"/>
  <drawing r:id="rId1"/>
</worksheet>
</file>