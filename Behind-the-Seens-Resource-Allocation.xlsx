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ource Allocation" sheetId="1" state="visible" r:id="rId3"/>
  </sheets>
  <definedNames>
    <definedName function="false" hidden="false" localSheetId="0" name="_xlnm.Print_Area" vbProcedure="false">'Resource Allocation'!$A$1:$W$67</definedName>
    <definedName function="false" hidden="false" localSheetId="0" name="_xlnm.Print_Titles" vbProcedure="false">'Resource Allocation'!$1:$4</definedName>
    <definedName function="false" hidden="true" localSheetId="0" name="_xlnm._FilterDatabase" vbProcedure="false">'Resource Allocation'!$A$4:$W$46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<sst xmlns="http://schemas.openxmlformats.org/spreadsheetml/2006/main" count="200" uniqueCount="101">
  <si>
    <t xml:space="preserve">Behind the Seens — Resource Allocation &amp; Monthly Cost Plan</t>
  </si>
  <si>
    <t xml:space="preserve">Project Managers: Ezz El-Din, Ibrahim, Ahmed, Mariam, Arwa, Hoor  |  Sponsor: NTI – Digital Egypt Youth Initiative  |  Duration: Aug 2026 – Feb 2028 (18 months)</t>
  </si>
  <si>
    <t xml:space="preserve">Resource / Task</t>
  </si>
  <si>
    <t xml:space="preserve">Team / Workstream</t>
  </si>
  <si>
    <t xml:space="preserve">Rate / Basis (EGP)</t>
  </si>
  <si>
    <t xml:space="preserve">Active Months</t>
  </si>
  <si>
    <t xml:space="preserve">Cost (EGP)</t>
  </si>
  <si>
    <t xml:space="preserve">M1
Aug-26</t>
  </si>
  <si>
    <t xml:space="preserve">M2
Sep-26</t>
  </si>
  <si>
    <t xml:space="preserve">M3
Oct-26</t>
  </si>
  <si>
    <t xml:space="preserve">M4
Nov-26</t>
  </si>
  <si>
    <t xml:space="preserve">M5
Dec-26</t>
  </si>
  <si>
    <t xml:space="preserve">M6
Jan-27</t>
  </si>
  <si>
    <t xml:space="preserve">M7
Feb-27</t>
  </si>
  <si>
    <t xml:space="preserve">M8
Mar-27</t>
  </si>
  <si>
    <t xml:space="preserve">M9
Apr-27</t>
  </si>
  <si>
    <t xml:space="preserve">M10
May-27</t>
  </si>
  <si>
    <t xml:space="preserve">M11
Jun-27</t>
  </si>
  <si>
    <t xml:space="preserve">M12
Jul-27</t>
  </si>
  <si>
    <t xml:space="preserve">M13
Aug-27</t>
  </si>
  <si>
    <t xml:space="preserve">M14
Sep-27</t>
  </si>
  <si>
    <t xml:space="preserve">M15
Oct-27</t>
  </si>
  <si>
    <t xml:space="preserve">M16
Nov-27</t>
  </si>
  <si>
    <t xml:space="preserve">M17
Dec-27</t>
  </si>
  <si>
    <t xml:space="preserve">M18
Jan/Feb-28</t>
  </si>
  <si>
    <t xml:space="preserve">Data Engineer</t>
  </si>
  <si>
    <t xml:space="preserve">Data &amp; Research</t>
  </si>
  <si>
    <t xml:space="preserve">T2.1 Data collection &amp; sourcing</t>
  </si>
  <si>
    <t xml:space="preserve">Oct-26, Nov-26</t>
  </si>
  <si>
    <t xml:space="preserve">●</t>
  </si>
  <si>
    <t xml:space="preserve">T2.2 Data cleaning &amp; annotation</t>
  </si>
  <si>
    <t xml:space="preserve">Nov-26, Dec-26</t>
  </si>
  <si>
    <t xml:space="preserve">T6.1 Bug fixing &amp; polish</t>
  </si>
  <si>
    <t xml:space="preserve">Dec-27, Jan/Feb-28</t>
  </si>
  <si>
    <t xml:space="preserve">T6.4 MVP launch &amp; handover</t>
  </si>
  <si>
    <t xml:space="preserve">Jan/Feb-28</t>
  </si>
  <si>
    <t xml:space="preserve">UX/UI Designer</t>
  </si>
  <si>
    <t xml:space="preserve">Design &amp; Experience</t>
  </si>
  <si>
    <t xml:space="preserve">T2.4 UX/UI research &amp; wireframes</t>
  </si>
  <si>
    <t xml:space="preserve">T4.3 Expert Review Dashboard</t>
  </si>
  <si>
    <t xml:space="preserve">Jun-27, Jul-27</t>
  </si>
  <si>
    <t xml:space="preserve">Clinical Advisory Committee (3 full-time)</t>
  </si>
  <si>
    <t xml:space="preserve">Clinical</t>
  </si>
  <si>
    <t xml:space="preserve">T2.3 Define ASD indicator criteria</t>
  </si>
  <si>
    <t xml:space="preserve">Dec-26, Jan-27</t>
  </si>
  <si>
    <t xml:space="preserve">T5.1 Validation dataset &amp; protocol</t>
  </si>
  <si>
    <t xml:space="preserve">Sep-27</t>
  </si>
  <si>
    <t xml:space="preserve">T5.3 UAT — Parents &amp; Therapists</t>
  </si>
  <si>
    <t xml:space="preserve">Oct-27, Nov-27</t>
  </si>
  <si>
    <t xml:space="preserve">T5.4 Clinical sign-off</t>
  </si>
  <si>
    <t xml:space="preserve">Nov-27, Dec-27</t>
  </si>
  <si>
    <t xml:space="preserve">AI Engineer (3 specialists)</t>
  </si>
  <si>
    <t xml:space="preserve">AI/ML Development</t>
  </si>
  <si>
    <t xml:space="preserve">T3.1 CV feature extraction</t>
  </si>
  <si>
    <t xml:space="preserve">Feb-27, Mar-27</t>
  </si>
  <si>
    <t xml:space="preserve">T3.2 VLM semantic extraction</t>
  </si>
  <si>
    <t xml:space="preserve">T3.3 Ensemble classification model</t>
  </si>
  <si>
    <t xml:space="preserve">Apr-27, May-27</t>
  </si>
  <si>
    <t xml:space="preserve">T3.4 LLM fine-tuning for reports</t>
  </si>
  <si>
    <t xml:space="preserve">Mar-27, Apr-27</t>
  </si>
  <si>
    <t xml:space="preserve">T4.4 RAG chatbot integration</t>
  </si>
  <si>
    <t xml:space="preserve">Jul-27, Aug-27</t>
  </si>
  <si>
    <t xml:space="preserve">Full-stack Developer</t>
  </si>
  <si>
    <t xml:space="preserve">Platform Engineering</t>
  </si>
  <si>
    <t xml:space="preserve">T4.1 Backend API development</t>
  </si>
  <si>
    <t xml:space="preserve">T4.5 Connect pipeline to applications</t>
  </si>
  <si>
    <t xml:space="preserve">Aug-27, Sep-27</t>
  </si>
  <si>
    <t xml:space="preserve">Mobile Developer</t>
  </si>
  <si>
    <t xml:space="preserve">T4.2 Mobile app build</t>
  </si>
  <si>
    <t xml:space="preserve">Jun-27, Jul-27, Aug-27</t>
  </si>
  <si>
    <t xml:space="preserve">QA Engineer</t>
  </si>
  <si>
    <t xml:space="preserve">Quality Assurance</t>
  </si>
  <si>
    <t xml:space="preserve">T5.2 Accuracy/reliability testing</t>
  </si>
  <si>
    <t xml:space="preserve">Sep-27, Oct-27</t>
  </si>
  <si>
    <t xml:space="preserve">GRAND TOTAL — SALARIES</t>
  </si>
  <si>
    <t xml:space="preserve">Cloud / GPU Compute</t>
  </si>
  <si>
    <t xml:space="preserve">Infrastructure</t>
  </si>
  <si>
    <t xml:space="preserve">Direct EGP/mo</t>
  </si>
  <si>
    <t xml:space="preserve">—</t>
  </si>
  <si>
    <t xml:space="preserve">QA / UAT Testing &amp; Misc.</t>
  </si>
  <si>
    <t xml:space="preserve">Testing &amp; Contingency</t>
  </si>
  <si>
    <t xml:space="preserve">TOTAL PROJECT COST</t>
  </si>
  <si>
    <t xml:space="preserve">Budget Reconciliation vs. Project Charter</t>
  </si>
  <si>
    <t xml:space="preserve">Budget Category</t>
  </si>
  <si>
    <t xml:space="preserve">Charter Target (EGP)</t>
  </si>
  <si>
    <t xml:space="preserve">Charter %</t>
  </si>
  <si>
    <t xml:space="preserve">Resource Plan Total (EGP)</t>
  </si>
  <si>
    <t xml:space="preserve">Execution Team Salaries (7-person budget)</t>
  </si>
  <si>
    <t xml:space="preserve">45%</t>
  </si>
  <si>
    <t xml:space="preserve">26%</t>
  </si>
  <si>
    <t xml:space="preserve">15%</t>
  </si>
  <si>
    <t xml:space="preserve">14%</t>
  </si>
  <si>
    <t xml:space="preserve">TOTAL PROJECT BUDGET</t>
  </si>
  <si>
    <t xml:space="preserve">100%</t>
  </si>
  <si>
    <t xml:space="preserve">Assumptions &amp; Notes:</t>
  </si>
  <si>
    <t xml:space="preserve">1. AI Engineer consolidates ML Engineer, Computer Vision Engineer, VLM/AI Research Engineer, and NLP/LLM Engineer into one AI/ML Development resource.</t>
  </si>
  <si>
    <t xml:space="preserve">2. AI Engineer is modelled as 3 specialists at EGP 45,000/month total. The other five tech resources are set at EGP 12,000/month each so the execution-team salary total is exactly EGP 1,890,000 over 18 months, matching the Charter budget target.</t>
  </si>
  <si>
    <t xml:space="preserve">3. The Charter has a headcount inconsistency: it states a 7-person tech execution team, while the role description separately lists 3 AI Engineers plus Data Engineer, Full-stack Developer, Mobile Developer, UX/UI Designer, and QA Engineer (8 specialists). The workbook prioritizes the Charter salary total while retaining the 3-AI-specialist role description.</t>
  </si>
  <si>
    <t xml:space="preserve">4. Clinical Advisory Committee is modelled as 3 full-time consultants at EGP 20,000/person/month = EGP 1,080,000 over 18 months, matching the Charter.</t>
  </si>
  <si>
    <t xml:space="preserve">5. Task months are mapped from the Project Execution Schedule; shared tasks remain under each responsible resource.</t>
  </si>
  <si>
    <t xml:space="preserve">6. Cloud/GPU = EGP 630,000 and QA/UAT Testing &amp; Misc. = EGP 600,000, producing the Charter total project budget of EGP 4,200,000.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</si>
</sst>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FF2CC"/>
      </patternFill>
    </fill>
    <fill>
      <patternFill patternType="solid">
        <fgColor rgb="FFD9EAD3"/>
        <bgColor rgb="FFFCE4D6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3"/>
    <col collapsed="false" customWidth="true" hidden="false" outlineLevel="0" max="3" min="3" style="1" width="17"/>
    <col collapsed="false" customWidth="true" hidden="false" outlineLevel="0" max="4" min="4" style="1" width="15"/>
    <col collapsed="false" customWidth="true" hidden="false" outlineLevel="0" max="5" min="5" style="1" width="17"/>
    <col collapsed="false" customWidth="true" hidden="false" outlineLevel="0" max="23" min="6" style="1" width="11"/>
    <col collapsed="false" customWidth="true" hidden="false" outlineLevel="0" max="25" min="25" style="1" width="55"/>
  </cols>
  <sheetData>
    <row r="1" customFormat="false" ht="17.25" hidden="false" customHeight="true" outlineLevel="0" collapsed="false">
      <c r="A1" s="2" t="s">
        <v>0</v>
      </c>
      <c r="X1" s="1"/>
    </row>
    <row r="2" customFormat="false" ht="21.75" hidden="false" customHeight="true" outlineLevel="0" collapsed="false">
      <c r="A2" s="3" t="s">
        <v>1</v>
      </c>
      <c r="X2" s="1"/>
    </row>
    <row r="3" customFormat="false" ht="15" hidden="false" customHeight="true" outlineLevel="0" collapsed="false">
      <c r="X3" s="1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customFormat="false" ht="19.5" hidden="false" customHeight="true" outlineLevel="0" collapsed="false">
      <c r="A5" s="5" t="s">
        <v>25</v>
      </c>
      <c r="B5" s="5" t="s">
        <v>26</v>
      </c>
      <c r="C5" s="6" t="n">
        <v>12000</v>
      </c>
      <c r="D5" s="5" t="n">
        <f aca="false">SUM(F5:W5)</f>
        <v>18</v>
      </c>
      <c r="E5" s="6" t="n">
        <f aca="false">C5*D5</f>
        <v>216000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</row>
    <row r="6" customFormat="false" ht="18" hidden="false" customHeight="true" outlineLevel="0" collapsed="false">
      <c r="A6" s="7" t="s">
        <v>27</v>
      </c>
      <c r="B6" s="8"/>
      <c r="C6" s="8"/>
      <c r="D6" s="8" t="s">
        <v>28</v>
      </c>
      <c r="E6" s="8"/>
      <c r="F6" s="8"/>
      <c r="G6" s="8"/>
      <c r="H6" s="9" t="s">
        <v>29</v>
      </c>
      <c r="I6" s="9" t="s">
        <v>29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" hidden="false" customHeight="true" outlineLevel="0" collapsed="false">
      <c r="A7" s="7" t="s">
        <v>30</v>
      </c>
      <c r="B7" s="8"/>
      <c r="C7" s="8"/>
      <c r="D7" s="8" t="s">
        <v>31</v>
      </c>
      <c r="E7" s="8"/>
      <c r="F7" s="8"/>
      <c r="G7" s="8"/>
      <c r="H7" s="8"/>
      <c r="I7" s="9" t="s">
        <v>29</v>
      </c>
      <c r="J7" s="9" t="s">
        <v>29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9.5" hidden="false" customHeight="true" outlineLevel="0" collapsed="false">
      <c r="A8" s="7" t="s">
        <v>32</v>
      </c>
      <c r="B8" s="8"/>
      <c r="C8" s="8"/>
      <c r="D8" s="8" t="s">
        <v>33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 t="s">
        <v>29</v>
      </c>
      <c r="W8" s="9" t="s">
        <v>29</v>
      </c>
    </row>
    <row r="9" customFormat="false" ht="19.5" hidden="false" customHeight="true" outlineLevel="0" collapsed="false">
      <c r="A9" s="7" t="s">
        <v>34</v>
      </c>
      <c r="B9" s="8"/>
      <c r="C9" s="8"/>
      <c r="D9" s="8" t="s">
        <v>35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 t="s">
        <v>29</v>
      </c>
    </row>
    <row r="10" customFormat="false" ht="19.5" hidden="false" customHeight="true" outlineLevel="0" collapsed="false">
      <c r="A10" s="5" t="s">
        <v>36</v>
      </c>
      <c r="B10" s="5" t="s">
        <v>37</v>
      </c>
      <c r="C10" s="6" t="n">
        <v>12000</v>
      </c>
      <c r="D10" s="5" t="n">
        <f aca="false">SUM(F10:W10)</f>
        <v>18</v>
      </c>
      <c r="E10" s="6" t="n">
        <f aca="false">C10*D10</f>
        <v>216000</v>
      </c>
      <c r="F10" s="5" t="n">
        <v>1</v>
      </c>
      <c r="G10" s="5" t="n">
        <v>1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1</v>
      </c>
    </row>
    <row r="11" customFormat="false" ht="18" hidden="false" customHeight="true" outlineLevel="0" collapsed="false">
      <c r="A11" s="7" t="s">
        <v>38</v>
      </c>
      <c r="B11" s="8"/>
      <c r="C11" s="8"/>
      <c r="D11" s="8" t="s">
        <v>28</v>
      </c>
      <c r="E11" s="8"/>
      <c r="F11" s="8"/>
      <c r="G11" s="8"/>
      <c r="H11" s="9" t="s">
        <v>29</v>
      </c>
      <c r="I11" s="9" t="s">
        <v>29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customFormat="false" ht="19.5" hidden="false" customHeight="true" outlineLevel="0" collapsed="false">
      <c r="A12" s="7" t="s">
        <v>39</v>
      </c>
      <c r="B12" s="8"/>
      <c r="C12" s="8"/>
      <c r="D12" s="8" t="s">
        <v>40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 t="s">
        <v>29</v>
      </c>
      <c r="Q12" s="9" t="s">
        <v>29</v>
      </c>
      <c r="R12" s="8"/>
      <c r="S12" s="8"/>
      <c r="T12" s="8"/>
      <c r="U12" s="8"/>
      <c r="V12" s="8"/>
      <c r="W12" s="8"/>
    </row>
    <row r="13" customFormat="false" ht="19.5" hidden="false" customHeight="true" outlineLevel="0" collapsed="false">
      <c r="A13" s="7" t="s">
        <v>32</v>
      </c>
      <c r="B13" s="8"/>
      <c r="C13" s="8"/>
      <c r="D13" s="8" t="s">
        <v>33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 t="s">
        <v>29</v>
      </c>
      <c r="W13" s="9" t="s">
        <v>29</v>
      </c>
    </row>
    <row r="14" customFormat="false" ht="19.5" hidden="false" customHeight="true" outlineLevel="0" collapsed="false">
      <c r="A14" s="7" t="s">
        <v>34</v>
      </c>
      <c r="B14" s="8"/>
      <c r="C14" s="8"/>
      <c r="D14" s="8" t="s">
        <v>35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 t="s">
        <v>29</v>
      </c>
    </row>
    <row r="15" customFormat="false" ht="19.5" hidden="false" customHeight="true" outlineLevel="0" collapsed="false">
      <c r="A15" s="5" t="s">
        <v>41</v>
      </c>
      <c r="B15" s="5" t="s">
        <v>42</v>
      </c>
      <c r="C15" s="6" t="n">
        <v>60000</v>
      </c>
      <c r="D15" s="5" t="n">
        <f aca="false">SUM(F15:W15)</f>
        <v>18</v>
      </c>
      <c r="E15" s="6" t="n">
        <f aca="false">C15*D15</f>
        <v>1080000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1</v>
      </c>
      <c r="S15" s="5" t="n">
        <v>1</v>
      </c>
      <c r="T15" s="5" t="n">
        <v>1</v>
      </c>
      <c r="U15" s="5" t="n">
        <v>1</v>
      </c>
      <c r="V15" s="5" t="n">
        <v>1</v>
      </c>
      <c r="W15" s="5" t="n">
        <v>1</v>
      </c>
    </row>
    <row r="16" customFormat="false" ht="19.5" hidden="false" customHeight="true" outlineLevel="0" collapsed="false">
      <c r="A16" s="7" t="s">
        <v>43</v>
      </c>
      <c r="B16" s="8"/>
      <c r="C16" s="8"/>
      <c r="D16" s="8" t="s">
        <v>44</v>
      </c>
      <c r="E16" s="8"/>
      <c r="F16" s="8"/>
      <c r="G16" s="8"/>
      <c r="H16" s="8"/>
      <c r="I16" s="8"/>
      <c r="J16" s="9" t="s">
        <v>29</v>
      </c>
      <c r="K16" s="9" t="s">
        <v>29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customFormat="false" ht="18" hidden="false" customHeight="true" outlineLevel="0" collapsed="false">
      <c r="A17" s="7" t="s">
        <v>45</v>
      </c>
      <c r="B17" s="8"/>
      <c r="C17" s="8"/>
      <c r="D17" s="8" t="s">
        <v>46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 t="s">
        <v>29</v>
      </c>
      <c r="T17" s="8"/>
      <c r="U17" s="8"/>
      <c r="V17" s="8"/>
      <c r="W17" s="8"/>
    </row>
    <row r="18" customFormat="false" ht="19.5" hidden="false" customHeight="true" outlineLevel="0" collapsed="false">
      <c r="A18" s="7" t="s">
        <v>47</v>
      </c>
      <c r="B18" s="8"/>
      <c r="C18" s="8"/>
      <c r="D18" s="8" t="s">
        <v>48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 t="s">
        <v>29</v>
      </c>
      <c r="U18" s="9" t="s">
        <v>29</v>
      </c>
      <c r="V18" s="8"/>
      <c r="W18" s="8"/>
    </row>
    <row r="19" customFormat="false" ht="18" hidden="false" customHeight="true" outlineLevel="0" collapsed="false">
      <c r="A19" s="7" t="s">
        <v>49</v>
      </c>
      <c r="B19" s="8"/>
      <c r="C19" s="8"/>
      <c r="D19" s="8" t="s">
        <v>50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 t="s">
        <v>29</v>
      </c>
      <c r="V19" s="9" t="s">
        <v>29</v>
      </c>
      <c r="W19" s="8"/>
    </row>
    <row r="20" customFormat="false" ht="19.5" hidden="false" customHeight="true" outlineLevel="0" collapsed="false">
      <c r="A20" s="7" t="s">
        <v>34</v>
      </c>
      <c r="B20" s="8"/>
      <c r="C20" s="8"/>
      <c r="D20" s="8" t="s">
        <v>35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 t="s">
        <v>29</v>
      </c>
    </row>
    <row r="21" customFormat="false" ht="19.5" hidden="false" customHeight="true" outlineLevel="0" collapsed="false">
      <c r="A21" s="5" t="s">
        <v>51</v>
      </c>
      <c r="B21" s="5" t="s">
        <v>52</v>
      </c>
      <c r="C21" s="6" t="n">
        <v>45000</v>
      </c>
      <c r="D21" s="5" t="n">
        <f aca="false">SUM(F21:W21)</f>
        <v>18</v>
      </c>
      <c r="E21" s="6" t="n">
        <f aca="false">C21*D21</f>
        <v>810000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1</v>
      </c>
      <c r="U21" s="5" t="n">
        <v>1</v>
      </c>
      <c r="V21" s="5" t="n">
        <v>1</v>
      </c>
      <c r="W21" s="5" t="n">
        <v>1</v>
      </c>
    </row>
    <row r="22" customFormat="false" ht="18" hidden="false" customHeight="true" outlineLevel="0" collapsed="false">
      <c r="A22" s="7" t="s">
        <v>43</v>
      </c>
      <c r="B22" s="8"/>
      <c r="C22" s="8"/>
      <c r="D22" s="8" t="s">
        <v>44</v>
      </c>
      <c r="E22" s="8"/>
      <c r="F22" s="8"/>
      <c r="G22" s="8"/>
      <c r="H22" s="8"/>
      <c r="I22" s="8"/>
      <c r="J22" s="9" t="s">
        <v>29</v>
      </c>
      <c r="K22" s="9" t="s">
        <v>29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customFormat="false" ht="19.5" hidden="false" customHeight="true" outlineLevel="0" collapsed="false">
      <c r="A23" s="7" t="s">
        <v>53</v>
      </c>
      <c r="B23" s="8"/>
      <c r="C23" s="8"/>
      <c r="D23" s="8" t="s">
        <v>54</v>
      </c>
      <c r="E23" s="8"/>
      <c r="F23" s="8"/>
      <c r="G23" s="8"/>
      <c r="H23" s="8"/>
      <c r="I23" s="8"/>
      <c r="J23" s="8"/>
      <c r="K23" s="8"/>
      <c r="L23" s="9" t="s">
        <v>29</v>
      </c>
      <c r="M23" s="9" t="s">
        <v>29</v>
      </c>
      <c r="N23" s="8"/>
      <c r="O23" s="8"/>
      <c r="P23" s="8"/>
      <c r="Q23" s="8"/>
      <c r="R23" s="8"/>
      <c r="S23" s="8"/>
      <c r="T23" s="8"/>
      <c r="U23" s="8"/>
      <c r="V23" s="8"/>
      <c r="W23" s="8"/>
    </row>
    <row r="24" customFormat="false" ht="19.5" hidden="false" customHeight="true" outlineLevel="0" collapsed="false">
      <c r="A24" s="7" t="s">
        <v>55</v>
      </c>
      <c r="B24" s="8"/>
      <c r="C24" s="8"/>
      <c r="D24" s="8" t="s">
        <v>54</v>
      </c>
      <c r="E24" s="8"/>
      <c r="F24" s="8"/>
      <c r="G24" s="8"/>
      <c r="H24" s="8"/>
      <c r="I24" s="8"/>
      <c r="J24" s="8"/>
      <c r="K24" s="8"/>
      <c r="L24" s="9" t="s">
        <v>29</v>
      </c>
      <c r="M24" s="9" t="s">
        <v>29</v>
      </c>
      <c r="N24" s="8"/>
      <c r="O24" s="8"/>
      <c r="P24" s="8"/>
      <c r="Q24" s="8"/>
      <c r="R24" s="8"/>
      <c r="S24" s="8"/>
      <c r="T24" s="8"/>
      <c r="U24" s="8"/>
      <c r="V24" s="8"/>
      <c r="W24" s="8"/>
    </row>
    <row r="25" customFormat="false" ht="19.5" hidden="false" customHeight="true" outlineLevel="0" collapsed="false">
      <c r="A25" s="7" t="s">
        <v>56</v>
      </c>
      <c r="B25" s="8"/>
      <c r="C25" s="8"/>
      <c r="D25" s="8" t="s">
        <v>57</v>
      </c>
      <c r="E25" s="8"/>
      <c r="F25" s="8"/>
      <c r="G25" s="8"/>
      <c r="H25" s="8"/>
      <c r="I25" s="8"/>
      <c r="J25" s="8"/>
      <c r="K25" s="8"/>
      <c r="L25" s="8"/>
      <c r="M25" s="8"/>
      <c r="N25" s="9" t="s">
        <v>29</v>
      </c>
      <c r="O25" s="9" t="s">
        <v>29</v>
      </c>
      <c r="P25" s="8"/>
      <c r="Q25" s="8"/>
      <c r="R25" s="8"/>
      <c r="S25" s="8"/>
      <c r="T25" s="8"/>
      <c r="U25" s="8"/>
      <c r="V25" s="8"/>
      <c r="W25" s="8"/>
    </row>
    <row r="26" customFormat="false" ht="18" hidden="false" customHeight="true" outlineLevel="0" collapsed="false">
      <c r="A26" s="7" t="s">
        <v>58</v>
      </c>
      <c r="B26" s="8"/>
      <c r="C26" s="8"/>
      <c r="D26" s="8" t="s">
        <v>59</v>
      </c>
      <c r="E26" s="8"/>
      <c r="F26" s="8"/>
      <c r="G26" s="8"/>
      <c r="H26" s="8"/>
      <c r="I26" s="8"/>
      <c r="J26" s="8"/>
      <c r="K26" s="8"/>
      <c r="L26" s="8"/>
      <c r="M26" s="9" t="s">
        <v>29</v>
      </c>
      <c r="N26" s="9" t="s">
        <v>29</v>
      </c>
      <c r="O26" s="8"/>
      <c r="P26" s="8"/>
      <c r="Q26" s="8"/>
      <c r="R26" s="8"/>
      <c r="S26" s="8"/>
      <c r="T26" s="8"/>
      <c r="U26" s="8"/>
      <c r="V26" s="8"/>
      <c r="W26" s="8"/>
    </row>
    <row r="27" customFormat="false" ht="18" hidden="false" customHeight="true" outlineLevel="0" collapsed="false">
      <c r="A27" s="7" t="s">
        <v>60</v>
      </c>
      <c r="B27" s="8"/>
      <c r="C27" s="8"/>
      <c r="D27" s="8" t="s">
        <v>61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 t="s">
        <v>29</v>
      </c>
      <c r="R27" s="9" t="s">
        <v>29</v>
      </c>
      <c r="S27" s="8"/>
      <c r="T27" s="8"/>
      <c r="U27" s="8"/>
      <c r="V27" s="8"/>
      <c r="W27" s="8"/>
    </row>
    <row r="28" customFormat="false" ht="19.5" hidden="false" customHeight="true" outlineLevel="0" collapsed="false">
      <c r="A28" s="7" t="s">
        <v>32</v>
      </c>
      <c r="B28" s="8"/>
      <c r="C28" s="8"/>
      <c r="D28" s="8" t="s">
        <v>33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 t="s">
        <v>29</v>
      </c>
      <c r="W28" s="9" t="s">
        <v>29</v>
      </c>
    </row>
    <row r="29" customFormat="false" ht="19.5" hidden="false" customHeight="true" outlineLevel="0" collapsed="false">
      <c r="A29" s="7" t="s">
        <v>34</v>
      </c>
      <c r="B29" s="8"/>
      <c r="C29" s="8"/>
      <c r="D29" s="8" t="s">
        <v>35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 t="s">
        <v>29</v>
      </c>
    </row>
    <row r="30" customFormat="false" ht="19.5" hidden="false" customHeight="true" outlineLevel="0" collapsed="false">
      <c r="A30" s="5" t="s">
        <v>62</v>
      </c>
      <c r="B30" s="5" t="s">
        <v>63</v>
      </c>
      <c r="C30" s="6" t="n">
        <v>12000</v>
      </c>
      <c r="D30" s="5" t="n">
        <f aca="false">SUM(F30:W30)</f>
        <v>18</v>
      </c>
      <c r="E30" s="6" t="n">
        <f aca="false">C30*D30</f>
        <v>216000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5" t="n">
        <v>1</v>
      </c>
      <c r="U30" s="5" t="n">
        <v>1</v>
      </c>
      <c r="V30" s="5" t="n">
        <v>1</v>
      </c>
      <c r="W30" s="5" t="n">
        <v>1</v>
      </c>
    </row>
    <row r="31" customFormat="false" ht="18" hidden="false" customHeight="true" outlineLevel="0" collapsed="false">
      <c r="A31" s="7" t="s">
        <v>64</v>
      </c>
      <c r="B31" s="8"/>
      <c r="C31" s="8"/>
      <c r="D31" s="8" t="s">
        <v>40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 t="s">
        <v>29</v>
      </c>
      <c r="Q31" s="9" t="s">
        <v>29</v>
      </c>
      <c r="R31" s="8"/>
      <c r="S31" s="8"/>
      <c r="T31" s="8"/>
      <c r="U31" s="8"/>
      <c r="V31" s="8"/>
      <c r="W31" s="8"/>
    </row>
    <row r="32" customFormat="false" ht="19.5" hidden="false" customHeight="true" outlineLevel="0" collapsed="false">
      <c r="A32" s="7" t="s">
        <v>39</v>
      </c>
      <c r="B32" s="8"/>
      <c r="C32" s="8"/>
      <c r="D32" s="8" t="s">
        <v>40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 t="s">
        <v>29</v>
      </c>
      <c r="Q32" s="9" t="s">
        <v>29</v>
      </c>
      <c r="R32" s="8"/>
      <c r="S32" s="8"/>
      <c r="T32" s="8"/>
      <c r="U32" s="8"/>
      <c r="V32" s="8"/>
      <c r="W32" s="8"/>
    </row>
    <row r="33" customFormat="false" ht="19.5" hidden="false" customHeight="true" outlineLevel="0" collapsed="false">
      <c r="A33" s="7" t="s">
        <v>60</v>
      </c>
      <c r="B33" s="8"/>
      <c r="C33" s="8"/>
      <c r="D33" s="8" t="s">
        <v>61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 t="s">
        <v>29</v>
      </c>
      <c r="R33" s="9" t="s">
        <v>29</v>
      </c>
      <c r="S33" s="8"/>
      <c r="T33" s="8"/>
      <c r="U33" s="8"/>
      <c r="V33" s="8"/>
      <c r="W33" s="8"/>
    </row>
    <row r="34" customFormat="false" ht="19.5" hidden="false" customHeight="true" outlineLevel="0" collapsed="false">
      <c r="A34" s="7" t="s">
        <v>65</v>
      </c>
      <c r="B34" s="8"/>
      <c r="C34" s="8"/>
      <c r="D34" s="8" t="s">
        <v>66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 t="s">
        <v>29</v>
      </c>
      <c r="S34" s="9" t="s">
        <v>29</v>
      </c>
      <c r="T34" s="8"/>
      <c r="U34" s="8"/>
      <c r="V34" s="8"/>
      <c r="W34" s="8"/>
    </row>
    <row r="35" customFormat="false" ht="18" hidden="false" customHeight="true" outlineLevel="0" collapsed="false">
      <c r="A35" s="7" t="s">
        <v>32</v>
      </c>
      <c r="B35" s="8"/>
      <c r="C35" s="8"/>
      <c r="D35" s="8" t="s">
        <v>33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 t="s">
        <v>29</v>
      </c>
      <c r="W35" s="9" t="s">
        <v>29</v>
      </c>
    </row>
    <row r="36" customFormat="false" ht="19.5" hidden="false" customHeight="true" outlineLevel="0" collapsed="false">
      <c r="A36" s="7" t="s">
        <v>34</v>
      </c>
      <c r="B36" s="8"/>
      <c r="C36" s="8"/>
      <c r="D36" s="8" t="s">
        <v>35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 t="s">
        <v>29</v>
      </c>
    </row>
    <row r="37" customFormat="false" ht="19.5" hidden="false" customHeight="true" outlineLevel="0" collapsed="false">
      <c r="A37" s="5" t="s">
        <v>67</v>
      </c>
      <c r="B37" s="5" t="s">
        <v>63</v>
      </c>
      <c r="C37" s="6" t="n">
        <v>12000</v>
      </c>
      <c r="D37" s="5" t="n">
        <f aca="false">SUM(F37:W37)</f>
        <v>18</v>
      </c>
      <c r="E37" s="6" t="n">
        <f aca="false">C37*D37</f>
        <v>216000</v>
      </c>
      <c r="F37" s="5" t="n">
        <v>1</v>
      </c>
      <c r="G37" s="5" t="n">
        <v>1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5" t="n">
        <v>1</v>
      </c>
      <c r="U37" s="5" t="n">
        <v>1</v>
      </c>
      <c r="V37" s="5" t="n">
        <v>1</v>
      </c>
      <c r="W37" s="5" t="n">
        <v>1</v>
      </c>
    </row>
    <row r="38" customFormat="false" ht="19.5" hidden="false" customHeight="true" outlineLevel="0" collapsed="false">
      <c r="A38" s="7" t="s">
        <v>68</v>
      </c>
      <c r="B38" s="8"/>
      <c r="C38" s="8"/>
      <c r="D38" s="8" t="s">
        <v>69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 t="s">
        <v>29</v>
      </c>
      <c r="Q38" s="9" t="s">
        <v>29</v>
      </c>
      <c r="R38" s="9" t="s">
        <v>29</v>
      </c>
      <c r="S38" s="8"/>
      <c r="T38" s="8"/>
      <c r="U38" s="8"/>
      <c r="V38" s="8"/>
      <c r="W38" s="8"/>
    </row>
    <row r="39" customFormat="false" ht="19.5" hidden="false" customHeight="true" outlineLevel="0" collapsed="false">
      <c r="A39" s="7" t="s">
        <v>32</v>
      </c>
      <c r="B39" s="8"/>
      <c r="C39" s="8"/>
      <c r="D39" s="8" t="s">
        <v>33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 t="s">
        <v>29</v>
      </c>
      <c r="W39" s="9" t="s">
        <v>29</v>
      </c>
    </row>
    <row r="40" customFormat="false" ht="18" hidden="false" customHeight="true" outlineLevel="0" collapsed="false">
      <c r="A40" s="7" t="s">
        <v>34</v>
      </c>
      <c r="B40" s="8"/>
      <c r="C40" s="8"/>
      <c r="D40" s="8" t="s">
        <v>35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9" t="s">
        <v>29</v>
      </c>
    </row>
    <row r="41" customFormat="false" ht="18" hidden="false" customHeight="true" outlineLevel="0" collapsed="false">
      <c r="A41" s="5" t="s">
        <v>70</v>
      </c>
      <c r="B41" s="5" t="s">
        <v>71</v>
      </c>
      <c r="C41" s="6" t="n">
        <v>12000</v>
      </c>
      <c r="D41" s="5" t="n">
        <f aca="false">SUM(F41:W41)</f>
        <v>18</v>
      </c>
      <c r="E41" s="6" t="n">
        <f aca="false">C41*D41</f>
        <v>216000</v>
      </c>
      <c r="F41" s="5" t="n">
        <v>1</v>
      </c>
      <c r="G41" s="5" t="n">
        <v>1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1</v>
      </c>
      <c r="S41" s="5" t="n">
        <v>1</v>
      </c>
      <c r="T41" s="5" t="n">
        <v>1</v>
      </c>
      <c r="U41" s="5" t="n">
        <v>1</v>
      </c>
      <c r="V41" s="5" t="n">
        <v>1</v>
      </c>
      <c r="W41" s="5" t="n">
        <v>1</v>
      </c>
    </row>
    <row r="42" customFormat="false" ht="18" hidden="false" customHeight="true" outlineLevel="0" collapsed="false">
      <c r="A42" s="7" t="s">
        <v>72</v>
      </c>
      <c r="B42" s="8"/>
      <c r="C42" s="8"/>
      <c r="D42" s="8" t="s">
        <v>73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 t="s">
        <v>29</v>
      </c>
      <c r="T42" s="9" t="s">
        <v>29</v>
      </c>
      <c r="U42" s="8"/>
      <c r="V42" s="8"/>
      <c r="W42" s="8"/>
    </row>
    <row r="43" customFormat="false" ht="18" hidden="false" customHeight="true" outlineLevel="0" collapsed="false">
      <c r="A43" s="7" t="s">
        <v>47</v>
      </c>
      <c r="B43" s="8"/>
      <c r="C43" s="8"/>
      <c r="D43" s="8" t="s">
        <v>48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 t="s">
        <v>29</v>
      </c>
      <c r="U43" s="9" t="s">
        <v>29</v>
      </c>
      <c r="V43" s="8"/>
      <c r="W43" s="8"/>
    </row>
    <row r="44" customFormat="false" ht="19.5" hidden="false" customHeight="true" outlineLevel="0" collapsed="false">
      <c r="A44" s="7" t="s">
        <v>32</v>
      </c>
      <c r="B44" s="8"/>
      <c r="C44" s="8"/>
      <c r="D44" s="8" t="s">
        <v>33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 t="s">
        <v>29</v>
      </c>
      <c r="W44" s="9" t="s">
        <v>29</v>
      </c>
    </row>
    <row r="45" customFormat="false" ht="19.5" hidden="false" customHeight="true" outlineLevel="0" collapsed="false">
      <c r="A45" s="7" t="s">
        <v>34</v>
      </c>
      <c r="B45" s="8"/>
      <c r="C45" s="8"/>
      <c r="D45" s="8" t="s">
        <v>35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 t="s">
        <v>29</v>
      </c>
    </row>
    <row r="46" customFormat="false" ht="19.5" hidden="false" customHeight="true" outlineLevel="0" collapsed="false">
      <c r="A46" s="10" t="s">
        <v>74</v>
      </c>
      <c r="B46" s="10"/>
      <c r="C46" s="10"/>
      <c r="D46" s="10"/>
      <c r="E46" s="11" t="n">
        <f aca="false">SUM(E5,E10,E15,E21,E30,E37,E41)</f>
        <v>2970000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customFormat="false" ht="18" hidden="false" customHeight="true" outlineLevel="0" collapsed="false"/>
    <row r="48" customFormat="false" ht="19.5" hidden="false" customHeight="true" outlineLevel="0" collapsed="false">
      <c r="A48" s="12" t="s">
        <v>75</v>
      </c>
      <c r="B48" s="12" t="s">
        <v>76</v>
      </c>
      <c r="C48" s="12" t="s">
        <v>77</v>
      </c>
      <c r="D48" s="12" t="s">
        <v>78</v>
      </c>
      <c r="E48" s="13" t="n">
        <f aca="false">SUM(F48:W48)</f>
        <v>630000</v>
      </c>
      <c r="F48" s="12" t="n">
        <v>10925</v>
      </c>
      <c r="G48" s="12" t="n">
        <v>10925</v>
      </c>
      <c r="H48" s="12" t="n">
        <v>18208</v>
      </c>
      <c r="I48" s="12" t="n">
        <v>18208</v>
      </c>
      <c r="J48" s="12" t="n">
        <v>21850</v>
      </c>
      <c r="K48" s="12" t="n">
        <v>21850</v>
      </c>
      <c r="L48" s="12" t="n">
        <v>58266</v>
      </c>
      <c r="M48" s="12" t="n">
        <v>65549</v>
      </c>
      <c r="N48" s="12" t="n">
        <v>65549</v>
      </c>
      <c r="O48" s="12" t="n">
        <v>58266</v>
      </c>
      <c r="P48" s="12" t="n">
        <v>43699</v>
      </c>
      <c r="Q48" s="12" t="n">
        <v>36416</v>
      </c>
      <c r="R48" s="12" t="n">
        <v>36416</v>
      </c>
      <c r="S48" s="12" t="n">
        <v>36416</v>
      </c>
      <c r="T48" s="12" t="n">
        <v>40058</v>
      </c>
      <c r="U48" s="12" t="n">
        <v>40058</v>
      </c>
      <c r="V48" s="12" t="n">
        <v>32775</v>
      </c>
      <c r="W48" s="12" t="n">
        <v>14566</v>
      </c>
    </row>
    <row r="49" customFormat="false" ht="19.5" hidden="false" customHeight="true" outlineLevel="0" collapsed="false">
      <c r="A49" s="12" t="s">
        <v>79</v>
      </c>
      <c r="B49" s="12" t="s">
        <v>80</v>
      </c>
      <c r="C49" s="12" t="s">
        <v>77</v>
      </c>
      <c r="D49" s="12" t="s">
        <v>78</v>
      </c>
      <c r="E49" s="13" t="n">
        <f aca="false">SUM(F49:W49)</f>
        <v>600000</v>
      </c>
      <c r="F49" s="12" t="n">
        <v>15790</v>
      </c>
      <c r="G49" s="12" t="n">
        <v>15790</v>
      </c>
      <c r="H49" s="12" t="n">
        <v>15790</v>
      </c>
      <c r="I49" s="12" t="n">
        <v>15790</v>
      </c>
      <c r="J49" s="12" t="n">
        <v>15790</v>
      </c>
      <c r="K49" s="12" t="n">
        <v>15790</v>
      </c>
      <c r="L49" s="12" t="n">
        <v>15790</v>
      </c>
      <c r="M49" s="12" t="n">
        <v>15790</v>
      </c>
      <c r="N49" s="12" t="n">
        <v>15790</v>
      </c>
      <c r="O49" s="12" t="n">
        <v>15790</v>
      </c>
      <c r="P49" s="12" t="n">
        <v>15790</v>
      </c>
      <c r="Q49" s="12" t="n">
        <v>15790</v>
      </c>
      <c r="R49" s="12" t="n">
        <v>15790</v>
      </c>
      <c r="S49" s="12" t="n">
        <v>15790</v>
      </c>
      <c r="T49" s="12" t="n">
        <v>105257</v>
      </c>
      <c r="U49" s="12" t="n">
        <v>105263</v>
      </c>
      <c r="V49" s="12" t="n">
        <v>84210</v>
      </c>
      <c r="W49" s="12" t="n">
        <v>84210</v>
      </c>
    </row>
    <row r="50" customFormat="false" ht="19.5" hidden="false" customHeight="true" outlineLevel="0" collapsed="false">
      <c r="A50" s="10" t="s">
        <v>81</v>
      </c>
      <c r="B50" s="10"/>
      <c r="C50" s="10"/>
      <c r="D50" s="10"/>
      <c r="E50" s="11" t="n">
        <f aca="false">E46+E48+E49</f>
        <v>4200000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customFormat="false" ht="18" hidden="false" customHeight="true" outlineLevel="0" collapsed="false"/>
    <row r="52" customFormat="false" ht="18" hidden="false" customHeight="true" outlineLevel="0" collapsed="false">
      <c r="A52" s="14" t="s">
        <v>82</v>
      </c>
      <c r="B52" s="14"/>
      <c r="C52" s="14"/>
      <c r="D52" s="14"/>
      <c r="E52" s="14"/>
      <c r="F52" s="14"/>
    </row>
    <row r="53" customFormat="false" ht="18" hidden="false" customHeight="true" outlineLevel="0" collapsed="false">
      <c r="A53" s="15" t="s">
        <v>83</v>
      </c>
      <c r="B53" s="15"/>
      <c r="C53" s="15" t="s">
        <v>84</v>
      </c>
      <c r="D53" s="15" t="s">
        <v>85</v>
      </c>
      <c r="E53" s="15" t="s">
        <v>86</v>
      </c>
    </row>
    <row r="54" customFormat="false" ht="18" hidden="false" customHeight="true" outlineLevel="0" collapsed="false">
      <c r="A54" s="12" t="s">
        <v>87</v>
      </c>
      <c r="B54" s="12"/>
      <c r="C54" s="13" t="n">
        <v>1890000</v>
      </c>
      <c r="D54" s="12" t="s">
        <v>88</v>
      </c>
      <c r="E54" s="13" t="n">
        <f aca="false">SUM(E5,E10,E21,E30,E37,E41)</f>
        <v>1890000</v>
      </c>
    </row>
    <row r="55" customFormat="false" ht="19.5" hidden="false" customHeight="true" outlineLevel="0" collapsed="false">
      <c r="A55" s="12" t="s">
        <v>41</v>
      </c>
      <c r="B55" s="12"/>
      <c r="C55" s="13" t="n">
        <v>1080000</v>
      </c>
      <c r="D55" s="12" t="s">
        <v>89</v>
      </c>
      <c r="E55" s="13" t="n">
        <f aca="false">E15</f>
        <v>1080000</v>
      </c>
    </row>
    <row r="56" customFormat="false" ht="15" hidden="false" customHeight="true" outlineLevel="0" collapsed="false">
      <c r="A56" s="12" t="s">
        <v>75</v>
      </c>
      <c r="B56" s="12"/>
      <c r="C56" s="13" t="n">
        <v>630000</v>
      </c>
      <c r="D56" s="12" t="s">
        <v>90</v>
      </c>
      <c r="E56" s="13" t="n">
        <f aca="false">E48</f>
        <v>630000</v>
      </c>
    </row>
    <row r="57" customFormat="false" ht="15" hidden="false" customHeight="true" outlineLevel="0" collapsed="false">
      <c r="A57" s="12" t="s">
        <v>79</v>
      </c>
      <c r="B57" s="12"/>
      <c r="C57" s="13" t="n">
        <v>600000</v>
      </c>
      <c r="D57" s="12" t="s">
        <v>91</v>
      </c>
      <c r="E57" s="13" t="n">
        <f aca="false">E49</f>
        <v>600000</v>
      </c>
    </row>
    <row r="58" customFormat="false" ht="15" hidden="false" customHeight="true" outlineLevel="0" collapsed="false">
      <c r="A58" s="10" t="s">
        <v>92</v>
      </c>
      <c r="B58" s="10"/>
      <c r="C58" s="11" t="n">
        <f aca="false">SUM(C54:C57)</f>
        <v>4200000</v>
      </c>
      <c r="D58" s="10" t="s">
        <v>93</v>
      </c>
      <c r="E58" s="11" t="n">
        <f aca="false">SUM(E54:E57)</f>
        <v>4200000</v>
      </c>
    </row>
    <row r="60" customFormat="false" ht="15" hidden="false" customHeight="true" outlineLevel="0" collapsed="false">
      <c r="A60" s="14" t="s">
        <v>94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customFormat="false" ht="36" hidden="false" customHeight="true" outlineLevel="0" collapsed="false">
      <c r="A61" s="16" t="s">
        <v>95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customFormat="false" ht="36" hidden="false" customHeight="true" outlineLevel="0" collapsed="false">
      <c r="A62" s="16" t="s">
        <v>96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customFormat="false" ht="36" hidden="false" customHeight="true" outlineLevel="0" collapsed="false">
      <c r="A63" s="16" t="s">
        <v>97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customFormat="false" ht="36" hidden="false" customHeight="true" outlineLevel="0" collapsed="false">
      <c r="A64" s="16" t="s">
        <v>98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customFormat="false" ht="36" hidden="false" customHeight="true" outlineLevel="0" collapsed="false">
      <c r="A65" s="16" t="s">
        <v>99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customFormat="false" ht="36" hidden="false" customHeight="true" outlineLevel="0" collapsed="false">
      <c r="A66" s="16" t="s">
        <v>100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70" customFormat="false" ht="36" hidden="false" customHeight="true" outlineLevel="0" collapsed="false"/>
    <row r="71" customFormat="false" ht="36" hidden="false" customHeight="true" outlineLevel="0" collapsed="false"/>
    <row r="72" customFormat="false" ht="36" hidden="false" customHeight="true" outlineLevel="0" collapsed="false"/>
    <row r="73" customFormat="false" ht="36" hidden="false" customHeight="true" outlineLevel="0" collapsed="false"/>
    <row r="74" customFormat="false" ht="24" hidden="false" customHeight="true" outlineLevel="0" collapsed="false"/>
    <row r="75" customFormat="false" ht="24" hidden="false" customHeight="true" outlineLevel="0" collapsed="false"/>
    <row r="1048576" customFormat="false" ht="12.75" hidden="false" customHeight="true" outlineLevel="0" collapsed="false"/>
  </sheetData>
  <autoFilter ref="A4:W46"/>
  <mergeCells count="8">
    <mergeCell ref="A52:F52"/>
    <mergeCell ref="A60:K60"/>
    <mergeCell ref="A61:K61"/>
    <mergeCell ref="A62:K62"/>
    <mergeCell ref="A63:K63"/>
    <mergeCell ref="A64:K64"/>
    <mergeCell ref="A65:K65"/>
    <mergeCell ref="A66:K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2026-08-14T17:36:32Z</dcterms:created>
  <dc:creator>openpyxl</dc:creator>
  <dc:description/>
  <dc:language>en-US</dc:language>
  <cp:lastModifiedBy/>
  <dcterms:modified xsi:type="dcterms:W3CDTF">2026-08-14T17:46:14Z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